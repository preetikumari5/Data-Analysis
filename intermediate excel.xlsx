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icket" sheetId="1" r:id="rId4"/>
    <sheet state="visible" name="City" sheetId="2" r:id="rId5"/>
    <sheet state="visible" name="Student" sheetId="3" r:id="rId6"/>
  </sheets>
  <definedNames/>
  <calcPr/>
</workbook>
</file>

<file path=xl/sharedStrings.xml><?xml version="1.0" encoding="utf-8"?>
<sst xmlns="http://schemas.openxmlformats.org/spreadsheetml/2006/main" count="116" uniqueCount="109">
  <si>
    <t>Data</t>
  </si>
  <si>
    <t>Index No.</t>
  </si>
  <si>
    <t>First Name</t>
  </si>
  <si>
    <t>Last Name</t>
  </si>
  <si>
    <t>Country</t>
  </si>
  <si>
    <t>1. Sachin Tendulkar (India)</t>
  </si>
  <si>
    <t>Sachin</t>
  </si>
  <si>
    <t>Tendulkar</t>
  </si>
  <si>
    <t>India</t>
  </si>
  <si>
    <t>2. Sir Don Bradman (Australia)</t>
  </si>
  <si>
    <t>Sir Don</t>
  </si>
  <si>
    <t>Bradman</t>
  </si>
  <si>
    <t>Australia</t>
  </si>
  <si>
    <t>3. Sir Vivian Richards(West Indies)</t>
  </si>
  <si>
    <t>Sir Vivian</t>
  </si>
  <si>
    <t>Richards</t>
  </si>
  <si>
    <t>West Indies</t>
  </si>
  <si>
    <t>4. Sir Garfield Sobers (West Indies)</t>
  </si>
  <si>
    <t>Sir Garfield</t>
  </si>
  <si>
    <t>Sobers</t>
  </si>
  <si>
    <t>5. Ricky Ponting (Australia)</t>
  </si>
  <si>
    <t xml:space="preserve">Ricky </t>
  </si>
  <si>
    <t>Ponting</t>
  </si>
  <si>
    <t>6. Brian Lara (West Indies)</t>
  </si>
  <si>
    <t>7. Jacques Kallis (South Africa)</t>
  </si>
  <si>
    <t>8. Imran Khan (Pakistan)</t>
  </si>
  <si>
    <t>9. Kapil Dev (India)</t>
  </si>
  <si>
    <t>10. Shane Warne (Australia)</t>
  </si>
  <si>
    <t>11. Muttiah Muralitharan (Sri Lanka)</t>
  </si>
  <si>
    <t>12. Wasim Akram (Pakistan)</t>
  </si>
  <si>
    <t>13. Rahul Dravid (India)</t>
  </si>
  <si>
    <t>14. Sir Ian Botham (England)</t>
  </si>
  <si>
    <t>15. Steve Waugh (Australia)</t>
  </si>
  <si>
    <t>16. Virat Kohli (India)</t>
  </si>
  <si>
    <t>17. Anil Kumble (India)</t>
  </si>
  <si>
    <t>18. Glenn McGrath (Australia)</t>
  </si>
  <si>
    <t>19. Chris Gayle (West Indies)</t>
  </si>
  <si>
    <t>20. AB de Villiers (South Africa)</t>
  </si>
  <si>
    <t>Student Name</t>
  </si>
  <si>
    <t>City</t>
  </si>
  <si>
    <t>English</t>
  </si>
  <si>
    <t>Math</t>
  </si>
  <si>
    <t>History</t>
  </si>
  <si>
    <t>Science</t>
  </si>
  <si>
    <t>Quinn</t>
  </si>
  <si>
    <t>Moscow</t>
  </si>
  <si>
    <t>Paul</t>
  </si>
  <si>
    <t>Buenos Aires</t>
  </si>
  <si>
    <t>Olivia</t>
  </si>
  <si>
    <t>Toronto</t>
  </si>
  <si>
    <t>Nancy</t>
  </si>
  <si>
    <t>Bangkok</t>
  </si>
  <si>
    <t>Michael</t>
  </si>
  <si>
    <t>Istanbul</t>
  </si>
  <si>
    <t>Laura</t>
  </si>
  <si>
    <t>Rome</t>
  </si>
  <si>
    <t>Kevin</t>
  </si>
  <si>
    <t>Mexico City</t>
  </si>
  <si>
    <t>Jane</t>
  </si>
  <si>
    <t>Cape Town</t>
  </si>
  <si>
    <t>Ian</t>
  </si>
  <si>
    <t>Cairo</t>
  </si>
  <si>
    <t>Helen</t>
  </si>
  <si>
    <t>Rio de Janeiro</t>
  </si>
  <si>
    <t>Grace</t>
  </si>
  <si>
    <t>Beijing</t>
  </si>
  <si>
    <t>Frank</t>
  </si>
  <si>
    <t>Sydney</t>
  </si>
  <si>
    <t>Emily</t>
  </si>
  <si>
    <t>Mumbai</t>
  </si>
  <si>
    <t>David</t>
  </si>
  <si>
    <t>Paris</t>
  </si>
  <si>
    <t>Carol</t>
  </si>
  <si>
    <t>Tokyo</t>
  </si>
  <si>
    <t>Bob</t>
  </si>
  <si>
    <t>London</t>
  </si>
  <si>
    <t>Alice</t>
  </si>
  <si>
    <t>New York City</t>
  </si>
  <si>
    <t>USED GPT , Vlookup, Xlookup, IF,  CountIF, SumIF</t>
  </si>
  <si>
    <t>| Student Name | Grade | English | Math | History | Science |</t>
  </si>
  <si>
    <t>Grade</t>
  </si>
  <si>
    <t>Average</t>
  </si>
  <si>
    <t>Total</t>
  </si>
  <si>
    <t>Gain</t>
  </si>
  <si>
    <t>%</t>
  </si>
  <si>
    <t>Result</t>
  </si>
  <si>
    <t>CIty</t>
  </si>
  <si>
    <t>| Alice | A | 90 | 85 | 88 | 92 |</t>
  </si>
  <si>
    <t>| Bob | B | 78 | 92 | 85 | 88 |</t>
  </si>
  <si>
    <t>vlookup</t>
  </si>
  <si>
    <t>| Carol | C | 85 | 76 | 72 | 80 |</t>
  </si>
  <si>
    <t>| David | B | 70 | 80 | 78 | 75 |</t>
  </si>
  <si>
    <t>| Emily | A | 92 | 94 | 90 | 95 |</t>
  </si>
  <si>
    <t>xlookup</t>
  </si>
  <si>
    <t>| Frank | D | 62 | 70 | 68 | 55 |</t>
  </si>
  <si>
    <t>| Grace | A | 95 | 88 | 92 | 96 |</t>
  </si>
  <si>
    <t>| Helen | C | 75 | 72 | 70 | 68 |</t>
  </si>
  <si>
    <t>| Ian | B | 78 | 80 | 75 | 82 |</t>
  </si>
  <si>
    <t>| Jane | A | 88 | 90 | 92 | 86 |</t>
  </si>
  <si>
    <t>| Kevin | C | 72 | 68 | 70 | 74 |</t>
  </si>
  <si>
    <t>| Laura | B | 80 | 85 | 88 | 82 |</t>
  </si>
  <si>
    <t>| Michael | A | 92 | 94 | 90 | 95 |</t>
  </si>
  <si>
    <t>| Nancy | C | 75 | 72 | 70 | 68 |</t>
  </si>
  <si>
    <t>| Olivia | B | 78 | 80 | 75 | 82 |</t>
  </si>
  <si>
    <t>| Paul | D | 60 | 65 | 62 | 58 |</t>
  </si>
  <si>
    <t>| Quinn | B | 80 | 85 | 88 | 82 |</t>
  </si>
  <si>
    <t>Summary</t>
  </si>
  <si>
    <t>Pass</t>
  </si>
  <si>
    <t>Fail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</si>
</sst>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4" numFmtId="10" xfId="0" applyFont="1" applyNumberFormat="1"/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7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>
      <c r="A2" s="3" t="s">
        <v>5</v>
      </c>
      <c r="B2" s="4">
        <v>1.0</v>
      </c>
      <c r="C2" s="3" t="s">
        <v>6</v>
      </c>
      <c r="D2" s="3" t="s">
        <v>7</v>
      </c>
      <c r="E2" s="3" t="s">
        <v>8</v>
      </c>
    </row>
    <row r="3">
      <c r="A3" s="3" t="s">
        <v>9</v>
      </c>
      <c r="B3" s="4">
        <v>2.0</v>
      </c>
      <c r="C3" s="3" t="s">
        <v>10</v>
      </c>
      <c r="D3" s="3" t="s">
        <v>11</v>
      </c>
      <c r="E3" s="3" t="s">
        <v>12</v>
      </c>
    </row>
    <row r="4">
      <c r="A4" s="3" t="s">
        <v>13</v>
      </c>
      <c r="B4" s="4">
        <v>3.0</v>
      </c>
      <c r="C4" s="3" t="s">
        <v>14</v>
      </c>
      <c r="D4" s="3" t="s">
        <v>15</v>
      </c>
      <c r="E4" s="3" t="s">
        <v>16</v>
      </c>
    </row>
    <row r="5">
      <c r="A5" s="3" t="s">
        <v>17</v>
      </c>
      <c r="B5" s="4">
        <v>4.0</v>
      </c>
      <c r="C5" s="3" t="s">
        <v>18</v>
      </c>
      <c r="D5" s="3" t="s">
        <v>19</v>
      </c>
      <c r="E5" s="3" t="s">
        <v>16</v>
      </c>
    </row>
    <row r="6">
      <c r="A6" s="3" t="s">
        <v>20</v>
      </c>
      <c r="B6" s="4">
        <v>5.0</v>
      </c>
      <c r="C6" s="3" t="s">
        <v>21</v>
      </c>
      <c r="D6" s="3" t="s">
        <v>22</v>
      </c>
      <c r="E6" s="3" t="s">
        <v>12</v>
      </c>
    </row>
    <row r="7">
      <c r="A7" s="3" t="s">
        <v>23</v>
      </c>
      <c r="B7" s="4"/>
      <c r="C7" s="5"/>
      <c r="D7" s="5"/>
      <c r="E7" s="5"/>
    </row>
    <row r="8">
      <c r="A8" s="3" t="s">
        <v>24</v>
      </c>
      <c r="B8" s="6"/>
      <c r="C8" s="5"/>
      <c r="D8" s="5"/>
      <c r="E8" s="5"/>
    </row>
    <row r="9">
      <c r="A9" s="3" t="s">
        <v>25</v>
      </c>
      <c r="B9" s="6"/>
      <c r="C9" s="5"/>
      <c r="D9" s="5"/>
      <c r="E9" s="5"/>
    </row>
    <row r="10">
      <c r="A10" s="3" t="s">
        <v>26</v>
      </c>
      <c r="B10" s="6"/>
      <c r="C10" s="5"/>
      <c r="D10" s="5"/>
      <c r="E10" s="5"/>
    </row>
    <row r="11">
      <c r="A11" s="3" t="s">
        <v>27</v>
      </c>
      <c r="B11" s="6"/>
      <c r="C11" s="5"/>
      <c r="D11" s="5"/>
      <c r="E11" s="5"/>
    </row>
    <row r="12">
      <c r="A12" s="3" t="s">
        <v>28</v>
      </c>
      <c r="C12" s="5"/>
      <c r="D12" s="5"/>
      <c r="E12" s="5"/>
    </row>
    <row r="13">
      <c r="A13" s="3" t="s">
        <v>29</v>
      </c>
      <c r="B13" s="6"/>
      <c r="C13" s="5"/>
      <c r="D13" s="5"/>
      <c r="E13" s="5"/>
    </row>
    <row r="14">
      <c r="A14" s="3" t="s">
        <v>30</v>
      </c>
      <c r="B14" s="6"/>
      <c r="C14" s="5"/>
      <c r="D14" s="5"/>
      <c r="E14" s="5"/>
    </row>
    <row r="15">
      <c r="A15" s="3" t="s">
        <v>31</v>
      </c>
      <c r="B15" s="6"/>
      <c r="C15" s="5"/>
      <c r="D15" s="5"/>
      <c r="E15" s="5"/>
    </row>
    <row r="16">
      <c r="A16" s="3" t="s">
        <v>32</v>
      </c>
      <c r="B16" s="6"/>
      <c r="C16" s="5"/>
      <c r="D16" s="5"/>
      <c r="E16" s="5"/>
    </row>
    <row r="17">
      <c r="A17" s="3" t="s">
        <v>33</v>
      </c>
      <c r="B17" s="6"/>
      <c r="C17" s="5"/>
      <c r="D17" s="5"/>
      <c r="E17" s="5"/>
    </row>
    <row r="18">
      <c r="A18" s="3" t="s">
        <v>34</v>
      </c>
      <c r="B18" s="6"/>
      <c r="C18" s="5"/>
      <c r="D18" s="5"/>
      <c r="E18" s="5"/>
    </row>
    <row r="19">
      <c r="A19" s="3" t="s">
        <v>35</v>
      </c>
      <c r="B19" s="6"/>
      <c r="C19" s="5"/>
      <c r="D19" s="5"/>
      <c r="E19" s="5"/>
    </row>
    <row r="20">
      <c r="A20" s="3" t="s">
        <v>36</v>
      </c>
      <c r="B20" s="6"/>
      <c r="C20" s="5"/>
      <c r="D20" s="5"/>
      <c r="E20" s="5"/>
    </row>
    <row r="21">
      <c r="A21" s="3" t="s">
        <v>37</v>
      </c>
      <c r="B21" s="6"/>
      <c r="C21" s="5"/>
      <c r="D21" s="5"/>
      <c r="E21" s="5"/>
    </row>
    <row r="24">
      <c r="A24" s="3"/>
    </row>
  </sheetData>
  <mergeCells count="2">
    <mergeCell ref="A12:B12"/>
    <mergeCell ref="A24:B2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38</v>
      </c>
      <c r="B1" s="7" t="s">
        <v>39</v>
      </c>
      <c r="C1" s="1" t="s">
        <v>40</v>
      </c>
      <c r="D1" s="1" t="s">
        <v>41</v>
      </c>
      <c r="E1" s="1" t="s">
        <v>42</v>
      </c>
      <c r="F1" s="1" t="s">
        <v>43</v>
      </c>
    </row>
    <row r="2">
      <c r="A2" s="3" t="s">
        <v>44</v>
      </c>
      <c r="B2" s="5" t="s">
        <v>45</v>
      </c>
      <c r="C2" s="5"/>
      <c r="D2" s="5"/>
      <c r="E2" s="5"/>
      <c r="F2" s="5"/>
    </row>
    <row r="3">
      <c r="A3" s="3" t="s">
        <v>46</v>
      </c>
      <c r="B3" s="3" t="s">
        <v>47</v>
      </c>
      <c r="C3" s="5"/>
      <c r="D3" s="5"/>
      <c r="E3" s="5"/>
      <c r="F3" s="5"/>
    </row>
    <row r="4">
      <c r="A4" s="3" t="s">
        <v>48</v>
      </c>
      <c r="B4" s="5" t="s">
        <v>49</v>
      </c>
      <c r="C4" s="5"/>
      <c r="D4" s="5"/>
      <c r="E4" s="5"/>
      <c r="F4" s="5"/>
    </row>
    <row r="5">
      <c r="A5" s="3" t="s">
        <v>50</v>
      </c>
      <c r="B5" s="5" t="s">
        <v>51</v>
      </c>
      <c r="C5" s="5"/>
      <c r="D5" s="5"/>
      <c r="E5" s="5"/>
      <c r="F5" s="5"/>
    </row>
    <row r="6">
      <c r="A6" s="3" t="s">
        <v>52</v>
      </c>
      <c r="B6" s="5" t="s">
        <v>53</v>
      </c>
      <c r="C6" s="5"/>
      <c r="D6" s="5"/>
      <c r="E6" s="5"/>
      <c r="F6" s="5"/>
    </row>
    <row r="7">
      <c r="A7" s="3" t="s">
        <v>54</v>
      </c>
      <c r="B7" s="5" t="s">
        <v>55</v>
      </c>
      <c r="C7" s="5"/>
      <c r="D7" s="5"/>
      <c r="E7" s="5"/>
      <c r="F7" s="5"/>
    </row>
    <row r="8">
      <c r="A8" s="3" t="s">
        <v>56</v>
      </c>
      <c r="B8" s="5" t="s">
        <v>57</v>
      </c>
      <c r="C8" s="5"/>
      <c r="D8" s="5"/>
      <c r="E8" s="5"/>
      <c r="F8" s="5"/>
    </row>
    <row r="9">
      <c r="A9" s="3" t="s">
        <v>58</v>
      </c>
      <c r="B9" s="5" t="s">
        <v>59</v>
      </c>
      <c r="C9" s="5"/>
      <c r="D9" s="5"/>
      <c r="E9" s="5"/>
      <c r="F9" s="5"/>
    </row>
    <row r="10">
      <c r="A10" s="3" t="s">
        <v>60</v>
      </c>
      <c r="B10" s="5" t="s">
        <v>61</v>
      </c>
      <c r="C10" s="5"/>
      <c r="D10" s="5"/>
      <c r="E10" s="5"/>
      <c r="F10" s="5"/>
    </row>
    <row r="11">
      <c r="A11" s="3" t="s">
        <v>62</v>
      </c>
      <c r="B11" s="3" t="s">
        <v>63</v>
      </c>
      <c r="C11" s="5"/>
      <c r="D11" s="5"/>
      <c r="E11" s="5"/>
      <c r="F11" s="5"/>
    </row>
    <row r="12">
      <c r="A12" s="3" t="s">
        <v>64</v>
      </c>
      <c r="B12" s="5" t="s">
        <v>65</v>
      </c>
      <c r="C12" s="5"/>
      <c r="D12" s="5"/>
      <c r="E12" s="5"/>
      <c r="F12" s="5"/>
    </row>
    <row r="13">
      <c r="A13" s="3" t="s">
        <v>66</v>
      </c>
      <c r="B13" s="5" t="s">
        <v>67</v>
      </c>
      <c r="C13" s="5"/>
      <c r="D13" s="5"/>
      <c r="E13" s="5"/>
      <c r="F13" s="5"/>
    </row>
    <row r="14">
      <c r="A14" s="3" t="s">
        <v>68</v>
      </c>
      <c r="B14" s="8" t="s">
        <v>69</v>
      </c>
      <c r="C14" s="5"/>
      <c r="D14" s="5"/>
      <c r="E14" s="5"/>
      <c r="F14" s="5"/>
    </row>
    <row r="15">
      <c r="A15" s="3" t="s">
        <v>70</v>
      </c>
      <c r="B15" s="8" t="s">
        <v>71</v>
      </c>
      <c r="C15" s="5"/>
      <c r="D15" s="5"/>
      <c r="E15" s="5"/>
      <c r="F15" s="5"/>
    </row>
    <row r="16">
      <c r="A16" s="3" t="s">
        <v>72</v>
      </c>
      <c r="B16" s="8" t="s">
        <v>73</v>
      </c>
      <c r="C16" s="5"/>
      <c r="D16" s="5"/>
      <c r="E16" s="5"/>
      <c r="F16" s="5"/>
    </row>
    <row r="17">
      <c r="A17" s="3" t="s">
        <v>74</v>
      </c>
      <c r="B17" s="8" t="s">
        <v>75</v>
      </c>
      <c r="C17" s="5"/>
      <c r="D17" s="5"/>
      <c r="E17" s="5"/>
      <c r="F17" s="5"/>
    </row>
    <row r="18">
      <c r="A18" s="3" t="s">
        <v>76</v>
      </c>
      <c r="B18" s="8" t="s">
        <v>77</v>
      </c>
      <c r="C18" s="5"/>
      <c r="D18" s="5"/>
      <c r="E18" s="5"/>
      <c r="F18" s="5"/>
    </row>
    <row r="19">
      <c r="D19" s="3"/>
    </row>
    <row r="21">
      <c r="E21" s="3"/>
    </row>
  </sheetData>
  <mergeCells count="2">
    <mergeCell ref="D19:E19"/>
    <mergeCell ref="E21:F2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38"/>
  </cols>
  <sheetData>
    <row r="1">
      <c r="A1" s="9" t="s">
        <v>78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 t="s">
        <v>79</v>
      </c>
      <c r="B3" s="1" t="s">
        <v>38</v>
      </c>
      <c r="C3" s="1" t="s">
        <v>80</v>
      </c>
      <c r="D3" s="1" t="s">
        <v>40</v>
      </c>
      <c r="E3" s="1" t="s">
        <v>41</v>
      </c>
      <c r="F3" s="1" t="s">
        <v>42</v>
      </c>
      <c r="G3" s="1" t="s">
        <v>43</v>
      </c>
      <c r="H3" s="9" t="s">
        <v>81</v>
      </c>
      <c r="I3" s="9" t="s">
        <v>82</v>
      </c>
      <c r="J3" s="9" t="s">
        <v>83</v>
      </c>
      <c r="K3" s="9" t="s">
        <v>84</v>
      </c>
      <c r="L3" s="9" t="s">
        <v>85</v>
      </c>
      <c r="M3" s="9" t="s">
        <v>86</v>
      </c>
    </row>
    <row r="4">
      <c r="A4" s="3" t="s">
        <v>87</v>
      </c>
      <c r="B4" s="3" t="str">
        <f>IFERROR(__xludf.DUMMYFUNCTION("REGEXEXTRACT(A4,""[A-Za-z]+"")"),"Alice")</f>
        <v>Alice</v>
      </c>
      <c r="C4" s="3" t="str">
        <f t="shared" ref="C4:C20" si="1">LEFT(B4,1)</f>
        <v>A</v>
      </c>
      <c r="D4" s="3">
        <v>90.0</v>
      </c>
      <c r="E4" s="3">
        <v>85.0</v>
      </c>
      <c r="F4" s="3">
        <v>88.0</v>
      </c>
      <c r="G4" s="3">
        <v>92.0</v>
      </c>
      <c r="H4" s="10">
        <f t="shared" ref="H4:H20" si="2">AVERAGE($D4:$G4)</f>
        <v>88.75</v>
      </c>
      <c r="I4" s="11">
        <v>400.0</v>
      </c>
      <c r="J4" s="10">
        <f t="shared" ref="J4:J20" si="3">sum($D4:$G4)</f>
        <v>355</v>
      </c>
      <c r="K4" s="12">
        <f t="shared" ref="K4:K20" si="4">DIVIDE($J4,$I4)</f>
        <v>0.8875</v>
      </c>
      <c r="L4" s="13" t="str">
        <f t="shared" ref="L4:L20" si="5">IF($J4&gt;300,"PASS","FAIL")</f>
        <v>PASS</v>
      </c>
      <c r="M4" s="10" t="str">
        <f>VLOOKUP("Alice",City!A2:B18,2,False)</f>
        <v>New York City</v>
      </c>
    </row>
    <row r="5">
      <c r="A5" s="3" t="s">
        <v>88</v>
      </c>
      <c r="B5" s="3" t="str">
        <f>IFERROR(__xludf.DUMMYFUNCTION("REGEXEXTRACT(A5,""[A-Za-z]+"")"),"Bob")</f>
        <v>Bob</v>
      </c>
      <c r="C5" s="3" t="str">
        <f t="shared" si="1"/>
        <v>B</v>
      </c>
      <c r="D5" s="3">
        <v>78.0</v>
      </c>
      <c r="E5" s="3">
        <v>92.0</v>
      </c>
      <c r="F5" s="3">
        <v>85.0</v>
      </c>
      <c r="G5" s="3">
        <v>88.0</v>
      </c>
      <c r="H5" s="10">
        <f t="shared" si="2"/>
        <v>85.75</v>
      </c>
      <c r="I5" s="11">
        <v>400.0</v>
      </c>
      <c r="J5" s="10">
        <f t="shared" si="3"/>
        <v>343</v>
      </c>
      <c r="K5" s="12">
        <f t="shared" si="4"/>
        <v>0.8575</v>
      </c>
      <c r="L5" s="13" t="str">
        <f t="shared" si="5"/>
        <v>PASS</v>
      </c>
      <c r="M5" s="10" t="str">
        <f>VLOOKUP("Bob",City!A2:B18,2,False)</f>
        <v>London</v>
      </c>
      <c r="N5" s="11" t="s">
        <v>89</v>
      </c>
    </row>
    <row r="6">
      <c r="A6" s="3" t="s">
        <v>90</v>
      </c>
      <c r="B6" s="5" t="str">
        <f>IFERROR(__xludf.DUMMYFUNCTION("REGEXEXTRACT(A6,""[A-Za-z]+"")"),"Carol")</f>
        <v>Carol</v>
      </c>
      <c r="C6" s="3" t="str">
        <f t="shared" si="1"/>
        <v>C</v>
      </c>
      <c r="D6" s="3">
        <v>85.0</v>
      </c>
      <c r="E6" s="3">
        <v>76.0</v>
      </c>
      <c r="F6" s="3">
        <v>72.0</v>
      </c>
      <c r="G6" s="3">
        <v>80.0</v>
      </c>
      <c r="H6" s="10">
        <f t="shared" si="2"/>
        <v>78.25</v>
      </c>
      <c r="I6" s="11">
        <v>400.0</v>
      </c>
      <c r="J6" s="10">
        <f t="shared" si="3"/>
        <v>313</v>
      </c>
      <c r="K6" s="12">
        <f t="shared" si="4"/>
        <v>0.7825</v>
      </c>
      <c r="L6" s="13" t="str">
        <f t="shared" si="5"/>
        <v>PASS</v>
      </c>
      <c r="M6" s="11" t="str">
        <f t="array" ref="M6">XLOOKUP(B6,City!A:A,City!B:B)</f>
        <v>Tokyo</v>
      </c>
    </row>
    <row r="7">
      <c r="A7" s="3" t="s">
        <v>91</v>
      </c>
      <c r="B7" s="5" t="str">
        <f>IFERROR(__xludf.DUMMYFUNCTION("REGEXEXTRACT(A7,""[A-Za-z]+"")"),"David")</f>
        <v>David</v>
      </c>
      <c r="C7" s="5" t="str">
        <f t="shared" si="1"/>
        <v>D</v>
      </c>
      <c r="D7" s="3">
        <v>70.0</v>
      </c>
      <c r="E7" s="3">
        <v>80.0</v>
      </c>
      <c r="F7" s="3">
        <v>78.0</v>
      </c>
      <c r="G7" s="3">
        <v>75.0</v>
      </c>
      <c r="H7" s="10">
        <f t="shared" si="2"/>
        <v>75.75</v>
      </c>
      <c r="I7" s="11">
        <v>400.0</v>
      </c>
      <c r="J7" s="10">
        <f t="shared" si="3"/>
        <v>303</v>
      </c>
      <c r="K7" s="12">
        <f t="shared" si="4"/>
        <v>0.7575</v>
      </c>
      <c r="L7" s="13" t="str">
        <f t="shared" si="5"/>
        <v>PASS</v>
      </c>
      <c r="M7" s="10" t="str">
        <f t="array" ref="M7">XLOOKUP($B7,City!A:A,City!B:B)</f>
        <v>Paris</v>
      </c>
    </row>
    <row r="8">
      <c r="A8" s="3" t="s">
        <v>92</v>
      </c>
      <c r="B8" s="5" t="str">
        <f>IFERROR(__xludf.DUMMYFUNCTION("REGEXEXTRACT(A8,""[A-Za-z]+"")"),"Emily")</f>
        <v>Emily</v>
      </c>
      <c r="C8" s="5" t="str">
        <f t="shared" si="1"/>
        <v>E</v>
      </c>
      <c r="D8" s="3">
        <v>92.0</v>
      </c>
      <c r="E8" s="3">
        <v>94.0</v>
      </c>
      <c r="F8" s="3">
        <v>90.0</v>
      </c>
      <c r="G8" s="3">
        <v>95.0</v>
      </c>
      <c r="H8" s="10">
        <f t="shared" si="2"/>
        <v>92.75</v>
      </c>
      <c r="I8" s="11">
        <v>400.0</v>
      </c>
      <c r="J8" s="10">
        <f t="shared" si="3"/>
        <v>371</v>
      </c>
      <c r="K8" s="12">
        <f t="shared" si="4"/>
        <v>0.9275</v>
      </c>
      <c r="L8" s="13" t="str">
        <f t="shared" si="5"/>
        <v>PASS</v>
      </c>
      <c r="M8" s="10" t="str">
        <f t="array" ref="M8">XLOOKUP($B8,City!A:A,City!B:B)</f>
        <v>Mumbai</v>
      </c>
      <c r="N8" s="11" t="s">
        <v>93</v>
      </c>
    </row>
    <row r="9">
      <c r="A9" s="3" t="s">
        <v>94</v>
      </c>
      <c r="B9" s="5" t="str">
        <f>IFERROR(__xludf.DUMMYFUNCTION("REGEXEXTRACT(A9,""[A-Za-z]+"")"),"Frank")</f>
        <v>Frank</v>
      </c>
      <c r="C9" s="5" t="str">
        <f t="shared" si="1"/>
        <v>F</v>
      </c>
      <c r="D9" s="3">
        <v>62.0</v>
      </c>
      <c r="E9" s="3">
        <v>70.0</v>
      </c>
      <c r="F9" s="3">
        <v>68.0</v>
      </c>
      <c r="G9" s="3">
        <v>55.0</v>
      </c>
      <c r="H9" s="10">
        <f t="shared" si="2"/>
        <v>63.75</v>
      </c>
      <c r="I9" s="11">
        <v>400.0</v>
      </c>
      <c r="J9" s="10">
        <f t="shared" si="3"/>
        <v>255</v>
      </c>
      <c r="K9" s="12">
        <f t="shared" si="4"/>
        <v>0.6375</v>
      </c>
      <c r="L9" s="13" t="str">
        <f t="shared" si="5"/>
        <v>FAIL</v>
      </c>
      <c r="M9" s="10" t="str">
        <f t="array" ref="M9">XLOOKUP($B9,City!A:A,City!B:B)</f>
        <v>Sydney</v>
      </c>
    </row>
    <row r="10">
      <c r="A10" s="3" t="s">
        <v>95</v>
      </c>
      <c r="B10" s="5" t="str">
        <f>IFERROR(__xludf.DUMMYFUNCTION("REGEXEXTRACT(A10,""[A-Za-z]+"")"),"Grace")</f>
        <v>Grace</v>
      </c>
      <c r="C10" s="5" t="str">
        <f t="shared" si="1"/>
        <v>G</v>
      </c>
      <c r="D10" s="3">
        <v>95.0</v>
      </c>
      <c r="E10" s="3">
        <v>88.0</v>
      </c>
      <c r="F10" s="3">
        <v>92.0</v>
      </c>
      <c r="G10" s="3">
        <v>96.0</v>
      </c>
      <c r="H10" s="10">
        <f t="shared" si="2"/>
        <v>92.75</v>
      </c>
      <c r="I10" s="11">
        <v>400.0</v>
      </c>
      <c r="J10" s="10">
        <f t="shared" si="3"/>
        <v>371</v>
      </c>
      <c r="K10" s="12">
        <f t="shared" si="4"/>
        <v>0.9275</v>
      </c>
      <c r="L10" s="13" t="str">
        <f t="shared" si="5"/>
        <v>PASS</v>
      </c>
      <c r="M10" s="10" t="str">
        <f t="array" ref="M10">XLOOKUP($B10,City!A:A,City!B:B)</f>
        <v>Beijing</v>
      </c>
    </row>
    <row r="11">
      <c r="A11" s="3" t="s">
        <v>96</v>
      </c>
      <c r="B11" s="5" t="str">
        <f>IFERROR(__xludf.DUMMYFUNCTION("REGEXEXTRACT(A11,""[A-Za-z]+"")"),"Helen")</f>
        <v>Helen</v>
      </c>
      <c r="C11" s="5" t="str">
        <f t="shared" si="1"/>
        <v>H</v>
      </c>
      <c r="D11" s="3">
        <v>75.0</v>
      </c>
      <c r="E11" s="3">
        <v>72.0</v>
      </c>
      <c r="F11" s="3">
        <v>70.0</v>
      </c>
      <c r="G11" s="3">
        <v>68.0</v>
      </c>
      <c r="H11" s="10">
        <f t="shared" si="2"/>
        <v>71.25</v>
      </c>
      <c r="I11" s="11">
        <v>400.0</v>
      </c>
      <c r="J11" s="10">
        <f t="shared" si="3"/>
        <v>285</v>
      </c>
      <c r="K11" s="12">
        <f t="shared" si="4"/>
        <v>0.7125</v>
      </c>
      <c r="L11" s="13" t="str">
        <f t="shared" si="5"/>
        <v>FAIL</v>
      </c>
      <c r="M11" s="10" t="str">
        <f t="array" ref="M11">XLOOKUP($B11,City!A:A,City!B:B)</f>
        <v>Rio de Janeiro</v>
      </c>
    </row>
    <row r="12">
      <c r="A12" s="3" t="s">
        <v>97</v>
      </c>
      <c r="B12" s="5" t="str">
        <f>IFERROR(__xludf.DUMMYFUNCTION("REGEXEXTRACT(A12,""[A-Za-z]+"")"),"Ian")</f>
        <v>Ian</v>
      </c>
      <c r="C12" s="5" t="str">
        <f t="shared" si="1"/>
        <v>I</v>
      </c>
      <c r="D12" s="3">
        <v>78.0</v>
      </c>
      <c r="E12" s="3">
        <v>80.0</v>
      </c>
      <c r="F12" s="3">
        <v>75.0</v>
      </c>
      <c r="G12" s="3">
        <v>82.0</v>
      </c>
      <c r="H12" s="10">
        <f t="shared" si="2"/>
        <v>78.75</v>
      </c>
      <c r="I12" s="11">
        <v>400.0</v>
      </c>
      <c r="J12" s="10">
        <f t="shared" si="3"/>
        <v>315</v>
      </c>
      <c r="K12" s="12">
        <f t="shared" si="4"/>
        <v>0.7875</v>
      </c>
      <c r="L12" s="13" t="str">
        <f t="shared" si="5"/>
        <v>PASS</v>
      </c>
      <c r="M12" s="10" t="str">
        <f t="array" ref="M12">XLOOKUP($B12,City!A:A,City!B:B)</f>
        <v>Cairo</v>
      </c>
    </row>
    <row r="13">
      <c r="A13" s="3" t="s">
        <v>98</v>
      </c>
      <c r="B13" s="5" t="str">
        <f>IFERROR(__xludf.DUMMYFUNCTION("REGEXEXTRACT(A13,""[A-Za-z]+"")"),"Jane")</f>
        <v>Jane</v>
      </c>
      <c r="C13" s="5" t="str">
        <f t="shared" si="1"/>
        <v>J</v>
      </c>
      <c r="D13" s="3">
        <v>88.0</v>
      </c>
      <c r="E13" s="3">
        <v>90.0</v>
      </c>
      <c r="F13" s="3">
        <v>92.0</v>
      </c>
      <c r="G13" s="3">
        <v>86.0</v>
      </c>
      <c r="H13" s="10">
        <f t="shared" si="2"/>
        <v>89</v>
      </c>
      <c r="I13" s="11">
        <v>400.0</v>
      </c>
      <c r="J13" s="10">
        <f t="shared" si="3"/>
        <v>356</v>
      </c>
      <c r="K13" s="12">
        <f t="shared" si="4"/>
        <v>0.89</v>
      </c>
      <c r="L13" s="13" t="str">
        <f t="shared" si="5"/>
        <v>PASS</v>
      </c>
      <c r="M13" s="10" t="str">
        <f t="array" ref="M13">XLOOKUP($B13,City!A:A,City!B:B)</f>
        <v>Cape Town</v>
      </c>
    </row>
    <row r="14">
      <c r="A14" s="3" t="s">
        <v>99</v>
      </c>
      <c r="B14" s="5" t="str">
        <f>IFERROR(__xludf.DUMMYFUNCTION("REGEXEXTRACT(A14,""[A-Za-z]+"")"),"Kevin")</f>
        <v>Kevin</v>
      </c>
      <c r="C14" s="5" t="str">
        <f t="shared" si="1"/>
        <v>K</v>
      </c>
      <c r="D14" s="3">
        <v>72.0</v>
      </c>
      <c r="E14" s="3">
        <v>68.0</v>
      </c>
      <c r="F14" s="3">
        <v>70.0</v>
      </c>
      <c r="G14" s="3">
        <v>74.0</v>
      </c>
      <c r="H14" s="10">
        <f t="shared" si="2"/>
        <v>71</v>
      </c>
      <c r="I14" s="11">
        <v>400.0</v>
      </c>
      <c r="J14" s="10">
        <f t="shared" si="3"/>
        <v>284</v>
      </c>
      <c r="K14" s="12">
        <f t="shared" si="4"/>
        <v>0.71</v>
      </c>
      <c r="L14" s="13" t="str">
        <f t="shared" si="5"/>
        <v>FAIL</v>
      </c>
      <c r="M14" s="10" t="str">
        <f t="array" ref="M14">XLOOKUP($B14,City!A:A,City!B:B)</f>
        <v>Mexico City</v>
      </c>
    </row>
    <row r="15">
      <c r="A15" s="3" t="s">
        <v>100</v>
      </c>
      <c r="B15" s="5" t="str">
        <f>IFERROR(__xludf.DUMMYFUNCTION("REGEXEXTRACT(A15,""[A-Za-z]+"")"),"Laura")</f>
        <v>Laura</v>
      </c>
      <c r="C15" s="5" t="str">
        <f t="shared" si="1"/>
        <v>L</v>
      </c>
      <c r="D15" s="3">
        <v>80.0</v>
      </c>
      <c r="E15" s="3">
        <v>85.0</v>
      </c>
      <c r="F15" s="3">
        <v>88.0</v>
      </c>
      <c r="G15" s="3">
        <v>82.0</v>
      </c>
      <c r="H15" s="10">
        <f t="shared" si="2"/>
        <v>83.75</v>
      </c>
      <c r="I15" s="11">
        <v>400.0</v>
      </c>
      <c r="J15" s="10">
        <f t="shared" si="3"/>
        <v>335</v>
      </c>
      <c r="K15" s="12">
        <f t="shared" si="4"/>
        <v>0.8375</v>
      </c>
      <c r="L15" s="13" t="str">
        <f t="shared" si="5"/>
        <v>PASS</v>
      </c>
      <c r="M15" s="10" t="str">
        <f t="array" ref="M15">XLOOKUP($B15,City!A:A,City!B:B)</f>
        <v>Rome</v>
      </c>
    </row>
    <row r="16">
      <c r="A16" s="3" t="s">
        <v>101</v>
      </c>
      <c r="B16" s="5" t="str">
        <f>IFERROR(__xludf.DUMMYFUNCTION("REGEXEXTRACT(A16,""[A-Za-z]+"")"),"Michael")</f>
        <v>Michael</v>
      </c>
      <c r="C16" s="5" t="str">
        <f t="shared" si="1"/>
        <v>M</v>
      </c>
      <c r="D16" s="3">
        <v>92.0</v>
      </c>
      <c r="E16" s="3">
        <v>94.0</v>
      </c>
      <c r="F16" s="3">
        <v>90.0</v>
      </c>
      <c r="G16" s="3">
        <v>95.0</v>
      </c>
      <c r="H16" s="10">
        <f t="shared" si="2"/>
        <v>92.75</v>
      </c>
      <c r="I16" s="11">
        <v>400.0</v>
      </c>
      <c r="J16" s="10">
        <f t="shared" si="3"/>
        <v>371</v>
      </c>
      <c r="K16" s="12">
        <f t="shared" si="4"/>
        <v>0.9275</v>
      </c>
      <c r="L16" s="13" t="str">
        <f t="shared" si="5"/>
        <v>PASS</v>
      </c>
      <c r="M16" s="10" t="str">
        <f t="array" ref="M16">XLOOKUP($B16,City!A:A,City!B:B)</f>
        <v>Istanbul</v>
      </c>
    </row>
    <row r="17">
      <c r="A17" s="3" t="s">
        <v>102</v>
      </c>
      <c r="B17" s="5" t="str">
        <f>IFERROR(__xludf.DUMMYFUNCTION("REGEXEXTRACT(A17,""[A-Za-z]+"")"),"Nancy")</f>
        <v>Nancy</v>
      </c>
      <c r="C17" s="5" t="str">
        <f t="shared" si="1"/>
        <v>N</v>
      </c>
      <c r="D17" s="3">
        <v>75.0</v>
      </c>
      <c r="E17" s="3">
        <v>72.0</v>
      </c>
      <c r="F17" s="3">
        <v>70.0</v>
      </c>
      <c r="G17" s="3">
        <v>68.0</v>
      </c>
      <c r="H17" s="10">
        <f t="shared" si="2"/>
        <v>71.25</v>
      </c>
      <c r="I17" s="11">
        <v>400.0</v>
      </c>
      <c r="J17" s="10">
        <f t="shared" si="3"/>
        <v>285</v>
      </c>
      <c r="K17" s="12">
        <f t="shared" si="4"/>
        <v>0.7125</v>
      </c>
      <c r="L17" s="13" t="str">
        <f t="shared" si="5"/>
        <v>FAIL</v>
      </c>
      <c r="M17" s="10" t="str">
        <f t="array" ref="M17">XLOOKUP($B17,City!A:A,City!B:B)</f>
        <v>Bangkok</v>
      </c>
    </row>
    <row r="18">
      <c r="A18" s="3" t="s">
        <v>103</v>
      </c>
      <c r="B18" s="5" t="str">
        <f>IFERROR(__xludf.DUMMYFUNCTION("REGEXEXTRACT(A18,""[A-Za-z]+"")"),"Olivia")</f>
        <v>Olivia</v>
      </c>
      <c r="C18" s="5" t="str">
        <f t="shared" si="1"/>
        <v>O</v>
      </c>
      <c r="D18" s="3">
        <v>78.0</v>
      </c>
      <c r="E18" s="3">
        <v>80.0</v>
      </c>
      <c r="F18" s="3">
        <v>75.0</v>
      </c>
      <c r="G18" s="3">
        <v>82.0</v>
      </c>
      <c r="H18" s="10">
        <f t="shared" si="2"/>
        <v>78.75</v>
      </c>
      <c r="I18" s="11">
        <v>400.0</v>
      </c>
      <c r="J18" s="10">
        <f t="shared" si="3"/>
        <v>315</v>
      </c>
      <c r="K18" s="12">
        <f t="shared" si="4"/>
        <v>0.7875</v>
      </c>
      <c r="L18" s="13" t="str">
        <f t="shared" si="5"/>
        <v>PASS</v>
      </c>
      <c r="M18" s="10" t="str">
        <f t="array" ref="M18">XLOOKUP($B18,City!A:A,City!B:B)</f>
        <v>Toronto</v>
      </c>
    </row>
    <row r="19">
      <c r="A19" s="3" t="s">
        <v>104</v>
      </c>
      <c r="B19" s="5" t="str">
        <f>IFERROR(__xludf.DUMMYFUNCTION("REGEXEXTRACT(A19,""[A-Za-z]+"")"),"Paul")</f>
        <v>Paul</v>
      </c>
      <c r="C19" s="5" t="str">
        <f t="shared" si="1"/>
        <v>P</v>
      </c>
      <c r="D19" s="3">
        <v>60.0</v>
      </c>
      <c r="E19" s="3">
        <v>65.0</v>
      </c>
      <c r="F19" s="3">
        <v>62.0</v>
      </c>
      <c r="G19" s="3">
        <v>58.0</v>
      </c>
      <c r="H19" s="10">
        <f t="shared" si="2"/>
        <v>61.25</v>
      </c>
      <c r="I19" s="11">
        <v>400.0</v>
      </c>
      <c r="J19" s="10">
        <f t="shared" si="3"/>
        <v>245</v>
      </c>
      <c r="K19" s="12">
        <f t="shared" si="4"/>
        <v>0.6125</v>
      </c>
      <c r="L19" s="13" t="str">
        <f t="shared" si="5"/>
        <v>FAIL</v>
      </c>
      <c r="M19" s="10" t="str">
        <f t="array" ref="M19">XLOOKUP($B19,City!A:A,City!B:B)</f>
        <v>Buenos Aires</v>
      </c>
    </row>
    <row r="20">
      <c r="A20" s="3" t="s">
        <v>105</v>
      </c>
      <c r="B20" s="5" t="str">
        <f>IFERROR(__xludf.DUMMYFUNCTION("REGEXEXTRACT(A20,""[A-Za-z]+"")"),"Quinn")</f>
        <v>Quinn</v>
      </c>
      <c r="C20" s="5" t="str">
        <f t="shared" si="1"/>
        <v>Q</v>
      </c>
      <c r="D20" s="3">
        <v>80.0</v>
      </c>
      <c r="E20" s="3">
        <v>85.0</v>
      </c>
      <c r="F20" s="3">
        <v>88.0</v>
      </c>
      <c r="G20" s="3">
        <v>82.0</v>
      </c>
      <c r="H20" s="10">
        <f t="shared" si="2"/>
        <v>83.75</v>
      </c>
      <c r="I20" s="11">
        <v>400.0</v>
      </c>
      <c r="J20" s="10">
        <f t="shared" si="3"/>
        <v>335</v>
      </c>
      <c r="K20" s="12">
        <f t="shared" si="4"/>
        <v>0.8375</v>
      </c>
      <c r="L20" s="13" t="str">
        <f t="shared" si="5"/>
        <v>PASS</v>
      </c>
      <c r="M20" s="10" t="str">
        <f t="array" ref="M20">XLOOKUP($B20,City!A:A,City!B:B)</f>
        <v>Moscow</v>
      </c>
    </row>
    <row r="23">
      <c r="L23" s="9" t="s">
        <v>106</v>
      </c>
    </row>
    <row r="24">
      <c r="L24" s="11" t="s">
        <v>107</v>
      </c>
      <c r="M24" s="10">
        <f>COUNTIF(L4:L20,"PASS")</f>
        <v>12</v>
      </c>
    </row>
    <row r="25">
      <c r="L25" s="11" t="s">
        <v>108</v>
      </c>
      <c r="M25" s="10">
        <f>COUNTIF(L5:L21,"FAIL")</f>
        <v>5</v>
      </c>
    </row>
  </sheetData>
  <drawing r:id="rId1"/>
</worksheet>
</file>