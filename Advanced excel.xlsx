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<sst xmlns="http://schemas.openxmlformats.org/spreadsheetml/2006/main" count="264" uniqueCount="98">
  <si>
    <t>1) Conditional formatting</t>
  </si>
  <si>
    <t>date</t>
  </si>
  <si>
    <t>raj</t>
  </si>
  <si>
    <t>rahul</t>
  </si>
  <si>
    <t>ramesh</t>
  </si>
  <si>
    <t>raju</t>
  </si>
  <si>
    <t>sorting..</t>
  </si>
  <si>
    <t>Bad</t>
  </si>
  <si>
    <t>red</t>
  </si>
  <si>
    <t>good</t>
  </si>
  <si>
    <t>yellow</t>
  </si>
  <si>
    <t>excellent</t>
  </si>
  <si>
    <t>green</t>
  </si>
  <si>
    <t>2)Sorting and filter</t>
  </si>
  <si>
    <t>user id</t>
  </si>
  <si>
    <t>Player name</t>
  </si>
  <si>
    <t>//vlookup</t>
  </si>
  <si>
    <t>3)data alignment</t>
  </si>
  <si>
    <t>//overflow</t>
  </si>
  <si>
    <t>player name</t>
  </si>
  <si>
    <t>email</t>
  </si>
  <si>
    <t>surnames</t>
  </si>
  <si>
    <t>Aarav</t>
  </si>
  <si>
    <t>https://example.com/profile/aarav</t>
  </si>
  <si>
    <t>Sharma</t>
  </si>
  <si>
    <t>Ishita</t>
  </si>
  <si>
    <t>https://example.com/profile/ishita</t>
  </si>
  <si>
    <t>Verma</t>
  </si>
  <si>
    <t>Rohan</t>
  </si>
  <si>
    <t>https://example.com/profile/rohan</t>
  </si>
  <si>
    <t>Patel</t>
  </si>
  <si>
    <t>Meera</t>
  </si>
  <si>
    <t>https://example.com/profile/meera</t>
  </si>
  <si>
    <t>Mehra</t>
  </si>
  <si>
    <t>Aditya</t>
  </si>
  <si>
    <t>https://example.com/profile/aditya</t>
  </si>
  <si>
    <t>Kapoor</t>
  </si>
  <si>
    <t>Saanvi</t>
  </si>
  <si>
    <t>https://example.com/profile/saanvi</t>
  </si>
  <si>
    <t>Singh</t>
  </si>
  <si>
    <t>Kabir</t>
  </si>
  <si>
    <t>https://example.com/profile/kabir</t>
  </si>
  <si>
    <t>Chopra</t>
  </si>
  <si>
    <t>Anaya</t>
  </si>
  <si>
    <t>https://example.com/profile/anaya</t>
  </si>
  <si>
    <t>Agarwal</t>
  </si>
  <si>
    <t>Vivaan</t>
  </si>
  <si>
    <t>https://example.com/profile/vivaan</t>
  </si>
  <si>
    <t>Malhotra</t>
  </si>
  <si>
    <t>Diya</t>
  </si>
  <si>
    <t>https://example.com/profile/diya</t>
  </si>
  <si>
    <t>Gupta</t>
  </si>
  <si>
    <t>Aryan</t>
  </si>
  <si>
    <t>https://example.com/profile/aryan</t>
  </si>
  <si>
    <t>Kumar</t>
  </si>
  <si>
    <t>Riya</t>
  </si>
  <si>
    <t>https://example.com/profile/riya</t>
  </si>
  <si>
    <t>Desai</t>
  </si>
  <si>
    <t>Kunal</t>
  </si>
  <si>
    <t>https://example.com/profile/kunal</t>
  </si>
  <si>
    <t>Bansal</t>
  </si>
  <si>
    <t>Simran</t>
  </si>
  <si>
    <t>https://example.com/profile/simran</t>
  </si>
  <si>
    <t>Jain</t>
  </si>
  <si>
    <t>Yash</t>
  </si>
  <si>
    <t>https://example.com/profile/yash</t>
  </si>
  <si>
    <t>Joshi</t>
  </si>
  <si>
    <t>Aanya</t>
  </si>
  <si>
    <t>https://example.com/profile/aanya</t>
  </si>
  <si>
    <t>Nair</t>
  </si>
  <si>
    <t>Raj</t>
  </si>
  <si>
    <t>https://example.com/profile/raj</t>
  </si>
  <si>
    <t>Iyer</t>
  </si>
  <si>
    <t>Neha</t>
  </si>
  <si>
    <t>https://example.com/profile/neha</t>
  </si>
  <si>
    <t>Reddy</t>
  </si>
  <si>
    <t>Dev</t>
  </si>
  <si>
    <t>https://example.com/profile/dev</t>
  </si>
  <si>
    <t>Chowdhury</t>
  </si>
  <si>
    <t>Priya</t>
  </si>
  <si>
    <t>https://example.com/profile/priya</t>
  </si>
  <si>
    <t>Das</t>
  </si>
  <si>
    <t>4) merge and rotation</t>
  </si>
  <si>
    <t>Section</t>
  </si>
  <si>
    <t>Section 1</t>
  </si>
  <si>
    <t>Section 2</t>
  </si>
  <si>
    <t>Section 3</t>
  </si>
  <si>
    <t>Section 4</t>
  </si>
  <si>
    <t>5) chart basics</t>
  </si>
  <si>
    <t>steps count</t>
  </si>
  <si>
    <t>6) Data Cleaning</t>
  </si>
  <si>
    <t>Name</t>
  </si>
  <si>
    <t>Age</t>
  </si>
  <si>
    <t>Phone Number</t>
  </si>
  <si>
    <t>DOB</t>
  </si>
  <si>
    <t>7) Importrange</t>
  </si>
  <si>
    <t>(linking 2 sheets)</t>
  </si>
  <si>
    <t>imported date from sheet 1 (A150:C201)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</si>
</sst>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&quot; &quot;mmm&quot; &quot;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/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2" numFmtId="0" xfId="0" applyFont="1"/>
    <xf borderId="1" fillId="0" fontId="2" numFmtId="164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 shrinkToFit="0" wrapText="0"/>
    </xf>
    <xf borderId="1" fillId="0" fontId="2" numFmtId="165" xfId="0" applyAlignment="1" applyBorder="1" applyFont="1" applyNumberFormat="1">
      <alignment horizontal="center" readingOrder="0" vertical="bottom"/>
    </xf>
    <xf borderId="2" fillId="0" fontId="2" numFmtId="0" xfId="0" applyAlignment="1" applyBorder="1" applyFont="1">
      <alignment readingOrder="0" textRotation="90" vertical="center"/>
    </xf>
    <xf borderId="3" fillId="0" fontId="4" numFmtId="0" xfId="0" applyBorder="1" applyFont="1"/>
    <xf borderId="4" fillId="0" fontId="4" numFmtId="0" xfId="0" applyBorder="1" applyFont="1"/>
    <xf borderId="1" fillId="0" fontId="2" numFmtId="166" xfId="0" applyAlignment="1" applyBorder="1" applyFont="1" applyNumberFormat="1">
      <alignment horizontal="center" readingOrder="0" vertical="bottom"/>
    </xf>
    <xf borderId="1" fillId="0" fontId="2" numFmtId="0" xfId="0" applyBorder="1" applyFont="1"/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900FF"/>
                </a:solidFill>
                <a:latin typeface="Comic Sans MS"/>
              </a:defRPr>
            </a:pPr>
            <a:r>
              <a:rPr b="0">
                <a:solidFill>
                  <a:srgbClr val="9900FF"/>
                </a:solidFill>
                <a:latin typeface="Comic Sans MS"/>
              </a:rPr>
              <a:t>steps count vs date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Sheet1!$C$105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Sheet1!$B$106:$B$125</c:f>
            </c:strRef>
          </c:cat>
          <c:val>
            <c:numRef>
              <c:f>Sheet1!$C$106:$C$125</c:f>
              <c:numCache/>
            </c:numRef>
          </c:val>
        </c:ser>
        <c:axId val="1669505426"/>
        <c:axId val="691645511"/>
      </c:bar3DChart>
      <c:catAx>
        <c:axId val="1669505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1645511"/>
      </c:catAx>
      <c:valAx>
        <c:axId val="6916455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steps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95054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200025</xdr:colOff>
      <xdr:row>105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xample.com/profile/priya" TargetMode="External"/><Relationship Id="rId20" Type="http://schemas.openxmlformats.org/officeDocument/2006/relationships/hyperlink" Target="https://example.com/profile/priya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example.com/profile/ishita" TargetMode="External"/><Relationship Id="rId21" Type="http://schemas.openxmlformats.org/officeDocument/2006/relationships/hyperlink" Target="https://example.com/profile/aarav" TargetMode="External"/><Relationship Id="rId24" Type="http://schemas.openxmlformats.org/officeDocument/2006/relationships/hyperlink" Target="https://example.com/profile/meera" TargetMode="External"/><Relationship Id="rId23" Type="http://schemas.openxmlformats.org/officeDocument/2006/relationships/hyperlink" Target="https://example.com/profile/rohan" TargetMode="External"/><Relationship Id="rId1" Type="http://schemas.openxmlformats.org/officeDocument/2006/relationships/hyperlink" Target="https://example.com/profile/aarav" TargetMode="External"/><Relationship Id="rId2" Type="http://schemas.openxmlformats.org/officeDocument/2006/relationships/hyperlink" Target="https://example.com/profile/ishita" TargetMode="External"/><Relationship Id="rId3" Type="http://schemas.openxmlformats.org/officeDocument/2006/relationships/hyperlink" Target="https://example.com/profile/rohan" TargetMode="External"/><Relationship Id="rId4" Type="http://schemas.openxmlformats.org/officeDocument/2006/relationships/hyperlink" Target="https://example.com/profile/meera" TargetMode="External"/><Relationship Id="rId9" Type="http://schemas.openxmlformats.org/officeDocument/2006/relationships/hyperlink" Target="https://example.com/profile/vivaan" TargetMode="External"/><Relationship Id="rId26" Type="http://schemas.openxmlformats.org/officeDocument/2006/relationships/hyperlink" Target="https://example.com/profile/saanvi" TargetMode="External"/><Relationship Id="rId25" Type="http://schemas.openxmlformats.org/officeDocument/2006/relationships/hyperlink" Target="https://example.com/profile/aditya" TargetMode="External"/><Relationship Id="rId28" Type="http://schemas.openxmlformats.org/officeDocument/2006/relationships/hyperlink" Target="https://example.com/profile/anaya" TargetMode="External"/><Relationship Id="rId27" Type="http://schemas.openxmlformats.org/officeDocument/2006/relationships/hyperlink" Target="https://example.com/profile/kabir" TargetMode="External"/><Relationship Id="rId5" Type="http://schemas.openxmlformats.org/officeDocument/2006/relationships/hyperlink" Target="https://example.com/profile/aditya" TargetMode="External"/><Relationship Id="rId6" Type="http://schemas.openxmlformats.org/officeDocument/2006/relationships/hyperlink" Target="https://example.com/profile/saanvi" TargetMode="External"/><Relationship Id="rId29" Type="http://schemas.openxmlformats.org/officeDocument/2006/relationships/hyperlink" Target="https://example.com/profile/vivaan" TargetMode="External"/><Relationship Id="rId7" Type="http://schemas.openxmlformats.org/officeDocument/2006/relationships/hyperlink" Target="https://example.com/profile/kabir" TargetMode="External"/><Relationship Id="rId8" Type="http://schemas.openxmlformats.org/officeDocument/2006/relationships/hyperlink" Target="https://example.com/profile/anaya" TargetMode="External"/><Relationship Id="rId31" Type="http://schemas.openxmlformats.org/officeDocument/2006/relationships/hyperlink" Target="https://example.com/profile/aryan" TargetMode="External"/><Relationship Id="rId30" Type="http://schemas.openxmlformats.org/officeDocument/2006/relationships/hyperlink" Target="https://example.com/profile/diya" TargetMode="External"/><Relationship Id="rId11" Type="http://schemas.openxmlformats.org/officeDocument/2006/relationships/hyperlink" Target="https://example.com/profile/aryan" TargetMode="External"/><Relationship Id="rId33" Type="http://schemas.openxmlformats.org/officeDocument/2006/relationships/hyperlink" Target="https://example.com/profile/kunal" TargetMode="External"/><Relationship Id="rId10" Type="http://schemas.openxmlformats.org/officeDocument/2006/relationships/hyperlink" Target="https://example.com/profile/diya" TargetMode="External"/><Relationship Id="rId32" Type="http://schemas.openxmlformats.org/officeDocument/2006/relationships/hyperlink" Target="https://example.com/profile/riya" TargetMode="External"/><Relationship Id="rId13" Type="http://schemas.openxmlformats.org/officeDocument/2006/relationships/hyperlink" Target="https://example.com/profile/kunal" TargetMode="External"/><Relationship Id="rId35" Type="http://schemas.openxmlformats.org/officeDocument/2006/relationships/hyperlink" Target="https://example.com/profile/yash" TargetMode="External"/><Relationship Id="rId12" Type="http://schemas.openxmlformats.org/officeDocument/2006/relationships/hyperlink" Target="https://example.com/profile/riya" TargetMode="External"/><Relationship Id="rId34" Type="http://schemas.openxmlformats.org/officeDocument/2006/relationships/hyperlink" Target="https://example.com/profile/simran" TargetMode="External"/><Relationship Id="rId15" Type="http://schemas.openxmlformats.org/officeDocument/2006/relationships/hyperlink" Target="https://example.com/profile/yash" TargetMode="External"/><Relationship Id="rId37" Type="http://schemas.openxmlformats.org/officeDocument/2006/relationships/hyperlink" Target="https://example.com/profile/raj" TargetMode="External"/><Relationship Id="rId14" Type="http://schemas.openxmlformats.org/officeDocument/2006/relationships/hyperlink" Target="https://example.com/profile/simran" TargetMode="External"/><Relationship Id="rId36" Type="http://schemas.openxmlformats.org/officeDocument/2006/relationships/hyperlink" Target="https://example.com/profile/aanya" TargetMode="External"/><Relationship Id="rId17" Type="http://schemas.openxmlformats.org/officeDocument/2006/relationships/hyperlink" Target="https://example.com/profile/raj" TargetMode="External"/><Relationship Id="rId39" Type="http://schemas.openxmlformats.org/officeDocument/2006/relationships/hyperlink" Target="https://example.com/profile/dev" TargetMode="External"/><Relationship Id="rId16" Type="http://schemas.openxmlformats.org/officeDocument/2006/relationships/hyperlink" Target="https://example.com/profile/aanya" TargetMode="External"/><Relationship Id="rId38" Type="http://schemas.openxmlformats.org/officeDocument/2006/relationships/hyperlink" Target="https://example.com/profile/neha" TargetMode="External"/><Relationship Id="rId19" Type="http://schemas.openxmlformats.org/officeDocument/2006/relationships/hyperlink" Target="https://example.com/profile/dev" TargetMode="External"/><Relationship Id="rId18" Type="http://schemas.openxmlformats.org/officeDocument/2006/relationships/hyperlink" Target="https://example.com/profile/neh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5" max="5" width="11.88"/>
  </cols>
  <sheetData>
    <row r="1">
      <c r="A1" s="1" t="s">
        <v>0</v>
      </c>
    </row>
    <row r="4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H4" s="3" t="s">
        <v>6</v>
      </c>
    </row>
    <row r="5">
      <c r="B5" s="4">
        <v>45691.0</v>
      </c>
      <c r="C5" s="5">
        <v>5729.0</v>
      </c>
      <c r="D5" s="5">
        <v>7582.0</v>
      </c>
      <c r="E5" s="5">
        <v>8041.0</v>
      </c>
      <c r="F5" s="5">
        <v>157049.0</v>
      </c>
      <c r="G5" s="5">
        <f t="shared" ref="G5:G24" si="1">sum($C5:$F5)</f>
        <v>178401</v>
      </c>
      <c r="H5" s="5">
        <v>1.4582079E7</v>
      </c>
    </row>
    <row r="6">
      <c r="B6" s="4">
        <v>45825.0</v>
      </c>
      <c r="C6" s="5">
        <v>18420.0</v>
      </c>
      <c r="D6" s="5">
        <v>32019.0</v>
      </c>
      <c r="E6" s="5">
        <v>917205.0</v>
      </c>
      <c r="F6" s="5">
        <v>8032.0</v>
      </c>
      <c r="G6" s="5">
        <f t="shared" si="1"/>
        <v>975676</v>
      </c>
      <c r="H6" s="5">
        <v>1.8475029E7</v>
      </c>
    </row>
    <row r="7">
      <c r="B7" s="6">
        <v>45990.0</v>
      </c>
      <c r="C7" s="5">
        <v>93058.0</v>
      </c>
      <c r="D7" s="5">
        <v>482065.0</v>
      </c>
      <c r="E7" s="5">
        <v>35821.0</v>
      </c>
      <c r="F7" s="5">
        <v>941207.0</v>
      </c>
      <c r="G7" s="5">
        <f t="shared" si="1"/>
        <v>1552151</v>
      </c>
      <c r="H7" s="5">
        <v>1.9482037E7</v>
      </c>
    </row>
    <row r="8">
      <c r="B8" s="4">
        <v>45883.0</v>
      </c>
      <c r="C8" s="5">
        <v>624197.0</v>
      </c>
      <c r="D8" s="5">
        <v>9173.0</v>
      </c>
      <c r="E8" s="5">
        <v>429870.0</v>
      </c>
      <c r="F8" s="5">
        <v>63472.0</v>
      </c>
      <c r="G8" s="5">
        <f t="shared" si="1"/>
        <v>1126712</v>
      </c>
      <c r="H8" s="5">
        <v>2.6058391E7</v>
      </c>
    </row>
    <row r="9">
      <c r="B9" s="4">
        <v>45679.0</v>
      </c>
      <c r="C9" s="5">
        <v>8721.0</v>
      </c>
      <c r="D9" s="5">
        <v>256047.0</v>
      </c>
      <c r="E9" s="5">
        <v>5208.0</v>
      </c>
      <c r="F9" s="5">
        <v>728095.0</v>
      </c>
      <c r="G9" s="5">
        <f t="shared" si="1"/>
        <v>998071</v>
      </c>
      <c r="H9" s="5">
        <v>3.7192058E7</v>
      </c>
    </row>
    <row r="10">
      <c r="B10" s="4">
        <v>45725.0</v>
      </c>
      <c r="C10" s="5">
        <v>39015.0</v>
      </c>
      <c r="D10" s="5">
        <v>69014.0</v>
      </c>
      <c r="E10" s="5">
        <v>648301.0</v>
      </c>
      <c r="F10" s="5">
        <v>28590.0</v>
      </c>
      <c r="G10" s="5">
        <f t="shared" si="1"/>
        <v>784920</v>
      </c>
      <c r="H10" s="5">
        <v>5.1720468E7</v>
      </c>
    </row>
    <row r="11">
      <c r="B11" s="6">
        <v>46022.0</v>
      </c>
      <c r="C11" s="5">
        <v>756482.0</v>
      </c>
      <c r="D11" s="5">
        <v>4829.0</v>
      </c>
      <c r="E11" s="5">
        <v>90325.0</v>
      </c>
      <c r="F11" s="5">
        <v>8103.0</v>
      </c>
      <c r="G11" s="5">
        <f t="shared" si="1"/>
        <v>859739</v>
      </c>
      <c r="H11" s="5">
        <v>5.9301726E7</v>
      </c>
    </row>
    <row r="12">
      <c r="B12" s="4">
        <v>45843.0</v>
      </c>
      <c r="C12" s="5">
        <v>1459.0</v>
      </c>
      <c r="D12" s="5">
        <v>831057.0</v>
      </c>
      <c r="E12" s="5">
        <v>726419.0</v>
      </c>
      <c r="F12" s="5">
        <v>379146.0</v>
      </c>
      <c r="G12" s="5">
        <f t="shared" si="1"/>
        <v>1938081</v>
      </c>
      <c r="H12" s="5">
        <v>6.0928317E7</v>
      </c>
    </row>
    <row r="13">
      <c r="B13" s="4">
        <v>45926.0</v>
      </c>
      <c r="C13" s="5">
        <v>308724.0</v>
      </c>
      <c r="D13" s="5">
        <v>62384.0</v>
      </c>
      <c r="E13" s="5">
        <v>4520.0</v>
      </c>
      <c r="F13" s="5">
        <v>572890.0</v>
      </c>
      <c r="G13" s="5">
        <f t="shared" si="1"/>
        <v>948518</v>
      </c>
      <c r="H13" s="5">
        <v>6.3051824E7</v>
      </c>
    </row>
    <row r="14">
      <c r="B14" s="4">
        <v>45796.0</v>
      </c>
      <c r="C14" s="5">
        <v>69105.0</v>
      </c>
      <c r="D14" s="5">
        <v>912370.0</v>
      </c>
      <c r="E14" s="5">
        <v>185074.0</v>
      </c>
      <c r="F14" s="5">
        <v>14053.0</v>
      </c>
      <c r="G14" s="5">
        <f t="shared" si="1"/>
        <v>1180602</v>
      </c>
      <c r="H14" s="5">
        <v>6.4058913E7</v>
      </c>
    </row>
    <row r="15">
      <c r="B15" s="6">
        <v>45941.0</v>
      </c>
      <c r="C15" s="5">
        <v>2486.0</v>
      </c>
      <c r="D15" s="5">
        <v>14820.0</v>
      </c>
      <c r="E15" s="5">
        <v>9204.0</v>
      </c>
      <c r="F15" s="5">
        <v>607182.0</v>
      </c>
      <c r="G15" s="5">
        <f t="shared" si="1"/>
        <v>633692</v>
      </c>
      <c r="H15" s="5">
        <v>6.7284905E7</v>
      </c>
    </row>
    <row r="16">
      <c r="B16" s="4">
        <v>45754.0</v>
      </c>
      <c r="C16" s="5">
        <v>573014.0</v>
      </c>
      <c r="D16" s="5">
        <v>307518.0</v>
      </c>
      <c r="E16" s="5">
        <v>719682.0</v>
      </c>
      <c r="F16" s="5">
        <v>38490.0</v>
      </c>
      <c r="G16" s="5">
        <f t="shared" si="1"/>
        <v>1638704</v>
      </c>
      <c r="H16" s="5">
        <v>7.0249361E7</v>
      </c>
    </row>
    <row r="17">
      <c r="B17" s="4">
        <v>45833.0</v>
      </c>
      <c r="C17" s="5">
        <v>92053.0</v>
      </c>
      <c r="D17" s="5">
        <v>7619.0</v>
      </c>
      <c r="E17" s="5">
        <v>20487.0</v>
      </c>
      <c r="F17" s="5">
        <v>529608.0</v>
      </c>
      <c r="G17" s="5">
        <f t="shared" si="1"/>
        <v>649767</v>
      </c>
      <c r="H17" s="5">
        <v>7.2839015E7</v>
      </c>
    </row>
    <row r="18">
      <c r="B18" s="4">
        <v>45899.0</v>
      </c>
      <c r="C18" s="5">
        <v>40127.0</v>
      </c>
      <c r="D18" s="5">
        <v>53970.0</v>
      </c>
      <c r="E18" s="5">
        <v>598310.0</v>
      </c>
      <c r="F18" s="5">
        <v>7182.0</v>
      </c>
      <c r="G18" s="5">
        <f t="shared" si="1"/>
        <v>699589</v>
      </c>
      <c r="H18" s="5">
        <v>7.3045918E7</v>
      </c>
    </row>
    <row r="19">
      <c r="B19" s="6">
        <v>45973.0</v>
      </c>
      <c r="C19" s="5">
        <v>6892.0</v>
      </c>
      <c r="D19" s="5">
        <v>618237.0</v>
      </c>
      <c r="E19" s="5">
        <v>76321.0</v>
      </c>
      <c r="F19" s="5">
        <v>146098.0</v>
      </c>
      <c r="G19" s="5">
        <f t="shared" si="1"/>
        <v>847548</v>
      </c>
      <c r="H19" s="5">
        <v>7.3618204E7</v>
      </c>
    </row>
    <row r="20">
      <c r="B20" s="4">
        <v>45661.0</v>
      </c>
      <c r="C20" s="5">
        <v>754210.0</v>
      </c>
      <c r="D20" s="5">
        <v>9851.0</v>
      </c>
      <c r="E20" s="5">
        <v>501279.0</v>
      </c>
      <c r="F20" s="5">
        <v>247501.0</v>
      </c>
      <c r="G20" s="5">
        <f t="shared" si="1"/>
        <v>1512841</v>
      </c>
      <c r="H20" s="5">
        <v>8.2046193E7</v>
      </c>
    </row>
    <row r="21">
      <c r="B21" s="4">
        <v>45716.0</v>
      </c>
      <c r="C21" s="5">
        <v>98205.0</v>
      </c>
      <c r="D21" s="5">
        <v>274308.0</v>
      </c>
      <c r="E21" s="5">
        <v>68043.0</v>
      </c>
      <c r="F21" s="5">
        <v>6903.0</v>
      </c>
      <c r="G21" s="5">
        <f t="shared" si="1"/>
        <v>447459</v>
      </c>
      <c r="H21" s="5">
        <v>8.5172064E7</v>
      </c>
    </row>
    <row r="22">
      <c r="B22" s="4">
        <v>45739.0</v>
      </c>
      <c r="C22" s="5">
        <v>34108.0</v>
      </c>
      <c r="D22" s="5">
        <v>43590.0</v>
      </c>
      <c r="E22" s="5">
        <v>837259.0</v>
      </c>
      <c r="F22" s="5">
        <v>315790.0</v>
      </c>
      <c r="G22" s="5">
        <f t="shared" si="1"/>
        <v>1230747</v>
      </c>
      <c r="H22" s="5">
        <v>8.9274016E7</v>
      </c>
    </row>
    <row r="23">
      <c r="B23" s="6">
        <v>46007.0</v>
      </c>
      <c r="C23" s="5">
        <v>6572.0</v>
      </c>
      <c r="D23" s="5">
        <v>730281.0</v>
      </c>
      <c r="E23" s="5">
        <v>31470.0</v>
      </c>
      <c r="F23" s="5">
        <v>18267.0</v>
      </c>
      <c r="G23" s="5">
        <f t="shared" si="1"/>
        <v>786590</v>
      </c>
      <c r="H23" s="5">
        <v>9.0562137E7</v>
      </c>
    </row>
    <row r="24">
      <c r="B24" s="4">
        <v>45921.0</v>
      </c>
      <c r="C24" s="5">
        <v>823017.0</v>
      </c>
      <c r="D24" s="5">
        <v>6452.0</v>
      </c>
      <c r="E24" s="5">
        <v>4573.0</v>
      </c>
      <c r="F24" s="5">
        <v>4381.0</v>
      </c>
      <c r="G24" s="5">
        <f t="shared" si="1"/>
        <v>838423</v>
      </c>
      <c r="H24" s="5">
        <v>9.1520478E7</v>
      </c>
    </row>
    <row r="27">
      <c r="B27" s="3" t="s">
        <v>7</v>
      </c>
      <c r="C27" s="7" t="s">
        <v>8</v>
      </c>
    </row>
    <row r="28">
      <c r="B28" s="3" t="s">
        <v>9</v>
      </c>
      <c r="C28" s="8" t="s">
        <v>10</v>
      </c>
    </row>
    <row r="29">
      <c r="B29" s="3" t="s">
        <v>11</v>
      </c>
      <c r="C29" s="9" t="s">
        <v>12</v>
      </c>
    </row>
    <row r="31">
      <c r="A31" s="1" t="s">
        <v>13</v>
      </c>
    </row>
    <row r="33">
      <c r="B33" s="3" t="s">
        <v>14</v>
      </c>
      <c r="C33" s="3" t="s">
        <v>15</v>
      </c>
    </row>
    <row r="34">
      <c r="B34" s="3">
        <v>7.2839015E7</v>
      </c>
      <c r="C34" s="10" t="str">
        <f>VLOOKUP($B34,Sheet2!$B3:$C23,2,0)</f>
        <v>Aarav</v>
      </c>
      <c r="D34" s="3" t="s">
        <v>16</v>
      </c>
    </row>
    <row r="35">
      <c r="B35" s="3">
        <v>1.8475029E7</v>
      </c>
      <c r="C35" s="10" t="str">
        <f>VLOOKUP($B35,Sheet2!$B4:$C24,2,0)</f>
        <v>Ishita</v>
      </c>
    </row>
    <row r="36">
      <c r="B36" s="3">
        <v>9.0562137E7</v>
      </c>
      <c r="C36" s="10" t="str">
        <f>VLOOKUP($B36,Sheet2!$B5:$C25,2,0)</f>
        <v>Rohan</v>
      </c>
    </row>
    <row r="37">
      <c r="B37" s="3">
        <v>6.7284905E7</v>
      </c>
      <c r="C37" s="10" t="str">
        <f>VLOOKUP($B37,Sheet2!$B6:$C26,2,0)</f>
        <v>Meera</v>
      </c>
    </row>
    <row r="38">
      <c r="B38" s="3">
        <v>5.9301726E7</v>
      </c>
      <c r="C38" s="10" t="str">
        <f>VLOOKUP($B38,Sheet2!$B7:$C27,2,0)</f>
        <v>Aditya</v>
      </c>
    </row>
    <row r="39">
      <c r="B39" s="3">
        <v>8.2046193E7</v>
      </c>
      <c r="C39" s="10" t="str">
        <f>VLOOKUP($B39,Sheet2!$B8:$C28,2,0)</f>
        <v>Saanvi</v>
      </c>
    </row>
    <row r="40">
      <c r="B40" s="3">
        <v>3.7192058E7</v>
      </c>
      <c r="C40" s="10" t="str">
        <f>VLOOKUP($B40,Sheet2!$B9:$C29,2,0)</f>
        <v>Kabir</v>
      </c>
    </row>
    <row r="41">
      <c r="B41" s="3">
        <v>6.4058913E7</v>
      </c>
      <c r="C41" s="10" t="str">
        <f>VLOOKUP($B41,Sheet2!$B10:$C30,2,0)</f>
        <v>Anaya</v>
      </c>
    </row>
    <row r="42">
      <c r="B42" s="3">
        <v>5.1720468E7</v>
      </c>
      <c r="C42" s="10" t="str">
        <f>VLOOKUP($B42,Sheet2!$B11:$C31,2,0)</f>
        <v>Vivaan</v>
      </c>
    </row>
    <row r="43">
      <c r="B43" s="3">
        <v>7.3618204E7</v>
      </c>
      <c r="C43" s="10" t="str">
        <f>VLOOKUP($B43,Sheet2!$B12:$C32,2,0)</f>
        <v>Diya</v>
      </c>
    </row>
    <row r="44">
      <c r="B44" s="3">
        <v>8.9274016E7</v>
      </c>
      <c r="C44" s="10" t="str">
        <f>VLOOKUP($B44,Sheet2!$B13:$C33,2,0)</f>
        <v>Aryan</v>
      </c>
    </row>
    <row r="45">
      <c r="B45" s="3">
        <v>2.6058391E7</v>
      </c>
      <c r="C45" s="10" t="str">
        <f>VLOOKUP($B45,Sheet2!$B14:$C34,2,0)</f>
        <v>Riya</v>
      </c>
    </row>
    <row r="46">
      <c r="B46" s="3">
        <v>7.3045918E7</v>
      </c>
      <c r="C46" s="10" t="str">
        <f>VLOOKUP($B46,Sheet2!$B15:$C35,2,0)</f>
        <v>Kunal</v>
      </c>
    </row>
    <row r="47">
      <c r="B47" s="3">
        <v>1.4582079E7</v>
      </c>
      <c r="C47" s="10" t="str">
        <f>VLOOKUP($B47,Sheet2!$B16:$C36,2,0)</f>
        <v>Simran</v>
      </c>
    </row>
    <row r="48">
      <c r="B48" s="3">
        <v>6.0928317E7</v>
      </c>
      <c r="C48" s="10" t="str">
        <f>VLOOKUP($B48,Sheet2!$B17:$C37,2,0)</f>
        <v>Yash</v>
      </c>
    </row>
    <row r="49">
      <c r="B49" s="3">
        <v>8.5172064E7</v>
      </c>
      <c r="C49" s="10" t="str">
        <f>VLOOKUP($B49,Sheet2!$B18:$C38,2,0)</f>
        <v>Aanya</v>
      </c>
    </row>
    <row r="50">
      <c r="B50" s="3">
        <v>1.9482037E7</v>
      </c>
      <c r="C50" s="10" t="str">
        <f>VLOOKUP($B50,Sheet2!$B19:$C39,2,0)</f>
        <v>Raj</v>
      </c>
    </row>
    <row r="51">
      <c r="B51" s="3">
        <v>6.3051824E7</v>
      </c>
      <c r="C51" s="10" t="str">
        <f>VLOOKUP($B51,Sheet2!$B20:$C40,2,0)</f>
        <v>Neha</v>
      </c>
    </row>
    <row r="52">
      <c r="B52" s="3">
        <v>7.0249361E7</v>
      </c>
      <c r="C52" s="10" t="str">
        <f>VLOOKUP($B52,Sheet2!$B21:$C41,2,0)</f>
        <v>Dev</v>
      </c>
    </row>
    <row r="53">
      <c r="B53" s="3">
        <v>9.1520478E7</v>
      </c>
      <c r="C53" s="10" t="str">
        <f>VLOOKUP($B53,Sheet2!$B22:$C42,2,0)</f>
        <v>Priya</v>
      </c>
    </row>
    <row r="55">
      <c r="A55" s="3" t="s">
        <v>17</v>
      </c>
    </row>
    <row r="56">
      <c r="E56" s="3" t="s">
        <v>18</v>
      </c>
    </row>
    <row r="57">
      <c r="B57" s="2" t="s">
        <v>1</v>
      </c>
      <c r="C57" s="2" t="s">
        <v>14</v>
      </c>
      <c r="D57" s="2" t="s">
        <v>19</v>
      </c>
      <c r="E57" s="2" t="s">
        <v>20</v>
      </c>
      <c r="F57" s="2" t="s">
        <v>21</v>
      </c>
    </row>
    <row r="58" ht="28.5" customHeight="1">
      <c r="B58" s="11">
        <v>45691.0</v>
      </c>
      <c r="C58" s="12">
        <v>7.2839015E7</v>
      </c>
      <c r="D58" s="12" t="s">
        <v>22</v>
      </c>
      <c r="E58" s="13" t="s">
        <v>23</v>
      </c>
      <c r="F58" s="12" t="s">
        <v>24</v>
      </c>
    </row>
    <row r="59" ht="28.5" customHeight="1">
      <c r="B59" s="11">
        <v>45825.0</v>
      </c>
      <c r="C59" s="12">
        <v>1.8475029E7</v>
      </c>
      <c r="D59" s="12" t="s">
        <v>25</v>
      </c>
      <c r="E59" s="13" t="s">
        <v>26</v>
      </c>
      <c r="F59" s="12" t="s">
        <v>27</v>
      </c>
    </row>
    <row r="60" ht="28.5" customHeight="1">
      <c r="B60" s="14">
        <v>45990.0</v>
      </c>
      <c r="C60" s="12">
        <v>9.0562137E7</v>
      </c>
      <c r="D60" s="12" t="s">
        <v>28</v>
      </c>
      <c r="E60" s="13" t="s">
        <v>29</v>
      </c>
      <c r="F60" s="12" t="s">
        <v>30</v>
      </c>
    </row>
    <row r="61" ht="28.5" customHeight="1">
      <c r="B61" s="11">
        <v>45883.0</v>
      </c>
      <c r="C61" s="12">
        <v>6.7284905E7</v>
      </c>
      <c r="D61" s="12" t="s">
        <v>31</v>
      </c>
      <c r="E61" s="13" t="s">
        <v>32</v>
      </c>
      <c r="F61" s="12" t="s">
        <v>33</v>
      </c>
    </row>
    <row r="62" ht="28.5" customHeight="1">
      <c r="B62" s="11">
        <v>45679.0</v>
      </c>
      <c r="C62" s="12">
        <v>5.9301726E7</v>
      </c>
      <c r="D62" s="12" t="s">
        <v>34</v>
      </c>
      <c r="E62" s="13" t="s">
        <v>35</v>
      </c>
      <c r="F62" s="12" t="s">
        <v>36</v>
      </c>
    </row>
    <row r="63" ht="28.5" customHeight="1">
      <c r="B63" s="11">
        <v>45725.0</v>
      </c>
      <c r="C63" s="12">
        <v>8.2046193E7</v>
      </c>
      <c r="D63" s="12" t="s">
        <v>37</v>
      </c>
      <c r="E63" s="13" t="s">
        <v>38</v>
      </c>
      <c r="F63" s="12" t="s">
        <v>39</v>
      </c>
    </row>
    <row r="64" ht="28.5" customHeight="1">
      <c r="B64" s="14">
        <v>46022.0</v>
      </c>
      <c r="C64" s="12">
        <v>3.7192058E7</v>
      </c>
      <c r="D64" s="12" t="s">
        <v>40</v>
      </c>
      <c r="E64" s="13" t="s">
        <v>41</v>
      </c>
      <c r="F64" s="12" t="s">
        <v>42</v>
      </c>
    </row>
    <row r="65" ht="28.5" customHeight="1">
      <c r="B65" s="11">
        <v>45843.0</v>
      </c>
      <c r="C65" s="12">
        <v>6.4058913E7</v>
      </c>
      <c r="D65" s="12" t="s">
        <v>43</v>
      </c>
      <c r="E65" s="13" t="s">
        <v>44</v>
      </c>
      <c r="F65" s="12" t="s">
        <v>45</v>
      </c>
    </row>
    <row r="66" ht="28.5" customHeight="1">
      <c r="B66" s="11">
        <v>45926.0</v>
      </c>
      <c r="C66" s="12">
        <v>5.1720468E7</v>
      </c>
      <c r="D66" s="12" t="s">
        <v>46</v>
      </c>
      <c r="E66" s="13" t="s">
        <v>47</v>
      </c>
      <c r="F66" s="12" t="s">
        <v>48</v>
      </c>
    </row>
    <row r="67" ht="28.5" customHeight="1">
      <c r="B67" s="11">
        <v>45796.0</v>
      </c>
      <c r="C67" s="12">
        <v>7.3618204E7</v>
      </c>
      <c r="D67" s="12" t="s">
        <v>49</v>
      </c>
      <c r="E67" s="13" t="s">
        <v>50</v>
      </c>
      <c r="F67" s="12" t="s">
        <v>51</v>
      </c>
    </row>
    <row r="68" ht="28.5" customHeight="1">
      <c r="B68" s="14">
        <v>45941.0</v>
      </c>
      <c r="C68" s="12">
        <v>8.9274016E7</v>
      </c>
      <c r="D68" s="12" t="s">
        <v>52</v>
      </c>
      <c r="E68" s="13" t="s">
        <v>53</v>
      </c>
      <c r="F68" s="12" t="s">
        <v>54</v>
      </c>
    </row>
    <row r="69" ht="28.5" customHeight="1">
      <c r="B69" s="11">
        <v>45754.0</v>
      </c>
      <c r="C69" s="12">
        <v>2.6058391E7</v>
      </c>
      <c r="D69" s="12" t="s">
        <v>55</v>
      </c>
      <c r="E69" s="13" t="s">
        <v>56</v>
      </c>
      <c r="F69" s="12" t="s">
        <v>57</v>
      </c>
    </row>
    <row r="70" ht="28.5" customHeight="1">
      <c r="B70" s="11">
        <v>45833.0</v>
      </c>
      <c r="C70" s="12">
        <v>7.3045918E7</v>
      </c>
      <c r="D70" s="12" t="s">
        <v>58</v>
      </c>
      <c r="E70" s="13" t="s">
        <v>59</v>
      </c>
      <c r="F70" s="12" t="s">
        <v>60</v>
      </c>
    </row>
    <row r="71" ht="28.5" customHeight="1">
      <c r="B71" s="11">
        <v>45899.0</v>
      </c>
      <c r="C71" s="12">
        <v>1.4582079E7</v>
      </c>
      <c r="D71" s="12" t="s">
        <v>61</v>
      </c>
      <c r="E71" s="13" t="s">
        <v>62</v>
      </c>
      <c r="F71" s="12" t="s">
        <v>63</v>
      </c>
    </row>
    <row r="72" ht="28.5" customHeight="1">
      <c r="B72" s="14">
        <v>45973.0</v>
      </c>
      <c r="C72" s="12">
        <v>6.0928317E7</v>
      </c>
      <c r="D72" s="12" t="s">
        <v>64</v>
      </c>
      <c r="E72" s="13" t="s">
        <v>65</v>
      </c>
      <c r="F72" s="12" t="s">
        <v>66</v>
      </c>
    </row>
    <row r="73" ht="28.5" customHeight="1">
      <c r="B73" s="11">
        <v>45661.0</v>
      </c>
      <c r="C73" s="12">
        <v>8.5172064E7</v>
      </c>
      <c r="D73" s="12" t="s">
        <v>67</v>
      </c>
      <c r="E73" s="13" t="s">
        <v>68</v>
      </c>
      <c r="F73" s="12" t="s">
        <v>69</v>
      </c>
    </row>
    <row r="74" ht="28.5" customHeight="1">
      <c r="B74" s="11">
        <v>45716.0</v>
      </c>
      <c r="C74" s="12">
        <v>1.9482037E7</v>
      </c>
      <c r="D74" s="12" t="s">
        <v>70</v>
      </c>
      <c r="E74" s="13" t="s">
        <v>71</v>
      </c>
      <c r="F74" s="12" t="s">
        <v>72</v>
      </c>
    </row>
    <row r="75" ht="28.5" customHeight="1">
      <c r="B75" s="11">
        <v>45739.0</v>
      </c>
      <c r="C75" s="12">
        <v>6.3051824E7</v>
      </c>
      <c r="D75" s="12" t="s">
        <v>73</v>
      </c>
      <c r="E75" s="13" t="s">
        <v>74</v>
      </c>
      <c r="F75" s="12" t="s">
        <v>75</v>
      </c>
    </row>
    <row r="76" ht="28.5" customHeight="1">
      <c r="B76" s="14">
        <v>46007.0</v>
      </c>
      <c r="C76" s="12">
        <v>7.0249361E7</v>
      </c>
      <c r="D76" s="12" t="s">
        <v>76</v>
      </c>
      <c r="E76" s="13" t="s">
        <v>77</v>
      </c>
      <c r="F76" s="12" t="s">
        <v>78</v>
      </c>
    </row>
    <row r="77" ht="28.5" customHeight="1">
      <c r="B77" s="11">
        <v>45921.0</v>
      </c>
      <c r="C77" s="12">
        <v>9.1520478E7</v>
      </c>
      <c r="D77" s="12" t="s">
        <v>79</v>
      </c>
      <c r="E77" s="13" t="s">
        <v>80</v>
      </c>
      <c r="F77" s="12" t="s">
        <v>81</v>
      </c>
    </row>
    <row r="79">
      <c r="A79" s="3" t="s">
        <v>82</v>
      </c>
    </row>
    <row r="81">
      <c r="A81" s="2" t="s">
        <v>83</v>
      </c>
      <c r="B81" s="2" t="s">
        <v>1</v>
      </c>
      <c r="C81" s="2" t="s">
        <v>14</v>
      </c>
      <c r="D81" s="2" t="s">
        <v>19</v>
      </c>
      <c r="E81" s="2" t="s">
        <v>20</v>
      </c>
      <c r="F81" s="2" t="s">
        <v>21</v>
      </c>
    </row>
    <row r="82">
      <c r="A82" s="15" t="s">
        <v>84</v>
      </c>
      <c r="B82" s="11">
        <v>45691.0</v>
      </c>
      <c r="C82" s="12">
        <v>7.2839015E7</v>
      </c>
      <c r="D82" s="12" t="s">
        <v>22</v>
      </c>
      <c r="E82" s="13" t="s">
        <v>23</v>
      </c>
      <c r="F82" s="12" t="s">
        <v>24</v>
      </c>
    </row>
    <row r="83">
      <c r="A83" s="16"/>
      <c r="B83" s="11">
        <v>45825.0</v>
      </c>
      <c r="C83" s="12">
        <v>1.8475029E7</v>
      </c>
      <c r="D83" s="12" t="s">
        <v>25</v>
      </c>
      <c r="E83" s="13" t="s">
        <v>26</v>
      </c>
      <c r="F83" s="12" t="s">
        <v>27</v>
      </c>
    </row>
    <row r="84">
      <c r="A84" s="16"/>
      <c r="B84" s="14">
        <v>45990.0</v>
      </c>
      <c r="C84" s="12">
        <v>9.0562137E7</v>
      </c>
      <c r="D84" s="12" t="s">
        <v>28</v>
      </c>
      <c r="E84" s="13" t="s">
        <v>29</v>
      </c>
      <c r="F84" s="12" t="s">
        <v>30</v>
      </c>
    </row>
    <row r="85">
      <c r="A85" s="16"/>
      <c r="B85" s="11">
        <v>45883.0</v>
      </c>
      <c r="C85" s="12">
        <v>6.7284905E7</v>
      </c>
      <c r="D85" s="12" t="s">
        <v>31</v>
      </c>
      <c r="E85" s="13" t="s">
        <v>32</v>
      </c>
      <c r="F85" s="12" t="s">
        <v>33</v>
      </c>
    </row>
    <row r="86">
      <c r="A86" s="17"/>
      <c r="B86" s="11">
        <v>45679.0</v>
      </c>
      <c r="C86" s="12">
        <v>5.9301726E7</v>
      </c>
      <c r="D86" s="12" t="s">
        <v>34</v>
      </c>
      <c r="E86" s="13" t="s">
        <v>35</v>
      </c>
      <c r="F86" s="12" t="s">
        <v>36</v>
      </c>
    </row>
    <row r="87">
      <c r="A87" s="15" t="s">
        <v>85</v>
      </c>
      <c r="B87" s="11">
        <v>45725.0</v>
      </c>
      <c r="C87" s="12">
        <v>8.2046193E7</v>
      </c>
      <c r="D87" s="12" t="s">
        <v>37</v>
      </c>
      <c r="E87" s="13" t="s">
        <v>38</v>
      </c>
      <c r="F87" s="12" t="s">
        <v>39</v>
      </c>
    </row>
    <row r="88">
      <c r="A88" s="16"/>
      <c r="B88" s="14">
        <v>46022.0</v>
      </c>
      <c r="C88" s="12">
        <v>3.7192058E7</v>
      </c>
      <c r="D88" s="12" t="s">
        <v>40</v>
      </c>
      <c r="E88" s="13" t="s">
        <v>41</v>
      </c>
      <c r="F88" s="12" t="s">
        <v>42</v>
      </c>
    </row>
    <row r="89">
      <c r="A89" s="16"/>
      <c r="B89" s="11">
        <v>45843.0</v>
      </c>
      <c r="C89" s="12">
        <v>6.4058913E7</v>
      </c>
      <c r="D89" s="12" t="s">
        <v>43</v>
      </c>
      <c r="E89" s="13" t="s">
        <v>44</v>
      </c>
      <c r="F89" s="12" t="s">
        <v>45</v>
      </c>
    </row>
    <row r="90">
      <c r="A90" s="16"/>
      <c r="B90" s="11">
        <v>45926.0</v>
      </c>
      <c r="C90" s="12">
        <v>5.1720468E7</v>
      </c>
      <c r="D90" s="12" t="s">
        <v>46</v>
      </c>
      <c r="E90" s="13" t="s">
        <v>47</v>
      </c>
      <c r="F90" s="12" t="s">
        <v>48</v>
      </c>
    </row>
    <row r="91">
      <c r="A91" s="17"/>
      <c r="B91" s="11">
        <v>45796.0</v>
      </c>
      <c r="C91" s="12">
        <v>7.3618204E7</v>
      </c>
      <c r="D91" s="12" t="s">
        <v>49</v>
      </c>
      <c r="E91" s="13" t="s">
        <v>50</v>
      </c>
      <c r="F91" s="12" t="s">
        <v>51</v>
      </c>
    </row>
    <row r="92">
      <c r="A92" s="15" t="s">
        <v>86</v>
      </c>
      <c r="B92" s="14">
        <v>45941.0</v>
      </c>
      <c r="C92" s="12">
        <v>8.9274016E7</v>
      </c>
      <c r="D92" s="12" t="s">
        <v>52</v>
      </c>
      <c r="E92" s="13" t="s">
        <v>53</v>
      </c>
      <c r="F92" s="12" t="s">
        <v>54</v>
      </c>
    </row>
    <row r="93">
      <c r="A93" s="16"/>
      <c r="B93" s="11">
        <v>45754.0</v>
      </c>
      <c r="C93" s="12">
        <v>2.6058391E7</v>
      </c>
      <c r="D93" s="12" t="s">
        <v>55</v>
      </c>
      <c r="E93" s="13" t="s">
        <v>56</v>
      </c>
      <c r="F93" s="12" t="s">
        <v>57</v>
      </c>
    </row>
    <row r="94">
      <c r="A94" s="16"/>
      <c r="B94" s="11">
        <v>45833.0</v>
      </c>
      <c r="C94" s="12">
        <v>7.3045918E7</v>
      </c>
      <c r="D94" s="12" t="s">
        <v>58</v>
      </c>
      <c r="E94" s="13" t="s">
        <v>59</v>
      </c>
      <c r="F94" s="12" t="s">
        <v>60</v>
      </c>
    </row>
    <row r="95">
      <c r="A95" s="16"/>
      <c r="B95" s="11">
        <v>45899.0</v>
      </c>
      <c r="C95" s="12">
        <v>1.4582079E7</v>
      </c>
      <c r="D95" s="12" t="s">
        <v>61</v>
      </c>
      <c r="E95" s="13" t="s">
        <v>62</v>
      </c>
      <c r="F95" s="12" t="s">
        <v>63</v>
      </c>
    </row>
    <row r="96">
      <c r="A96" s="17"/>
      <c r="B96" s="14">
        <v>45973.0</v>
      </c>
      <c r="C96" s="12">
        <v>6.0928317E7</v>
      </c>
      <c r="D96" s="12" t="s">
        <v>64</v>
      </c>
      <c r="E96" s="13" t="s">
        <v>65</v>
      </c>
      <c r="F96" s="12" t="s">
        <v>66</v>
      </c>
    </row>
    <row r="97">
      <c r="A97" s="15" t="s">
        <v>87</v>
      </c>
      <c r="B97" s="11">
        <v>45661.0</v>
      </c>
      <c r="C97" s="12">
        <v>8.5172064E7</v>
      </c>
      <c r="D97" s="12" t="s">
        <v>67</v>
      </c>
      <c r="E97" s="13" t="s">
        <v>68</v>
      </c>
      <c r="F97" s="12" t="s">
        <v>69</v>
      </c>
    </row>
    <row r="98">
      <c r="A98" s="16"/>
      <c r="B98" s="11">
        <v>45716.0</v>
      </c>
      <c r="C98" s="12">
        <v>1.9482037E7</v>
      </c>
      <c r="D98" s="12" t="s">
        <v>70</v>
      </c>
      <c r="E98" s="13" t="s">
        <v>71</v>
      </c>
      <c r="F98" s="12" t="s">
        <v>72</v>
      </c>
    </row>
    <row r="99">
      <c r="A99" s="16"/>
      <c r="B99" s="11">
        <v>45739.0</v>
      </c>
      <c r="C99" s="12">
        <v>6.3051824E7</v>
      </c>
      <c r="D99" s="12" t="s">
        <v>73</v>
      </c>
      <c r="E99" s="13" t="s">
        <v>74</v>
      </c>
      <c r="F99" s="12" t="s">
        <v>75</v>
      </c>
    </row>
    <row r="100">
      <c r="A100" s="16"/>
      <c r="B100" s="14">
        <v>46007.0</v>
      </c>
      <c r="C100" s="12">
        <v>7.0249361E7</v>
      </c>
      <c r="D100" s="12" t="s">
        <v>76</v>
      </c>
      <c r="E100" s="13" t="s">
        <v>77</v>
      </c>
      <c r="F100" s="12" t="s">
        <v>78</v>
      </c>
    </row>
    <row r="101">
      <c r="A101" s="17"/>
      <c r="B101" s="11">
        <v>45921.0</v>
      </c>
      <c r="C101" s="12">
        <v>9.1520478E7</v>
      </c>
      <c r="D101" s="12" t="s">
        <v>79</v>
      </c>
      <c r="E101" s="13" t="s">
        <v>80</v>
      </c>
      <c r="F101" s="12" t="s">
        <v>81</v>
      </c>
    </row>
    <row r="103">
      <c r="A103" s="3" t="s">
        <v>88</v>
      </c>
    </row>
    <row r="105">
      <c r="A105" s="2" t="s">
        <v>83</v>
      </c>
      <c r="B105" s="2" t="s">
        <v>1</v>
      </c>
      <c r="C105" s="2" t="s">
        <v>89</v>
      </c>
    </row>
    <row r="106">
      <c r="A106" s="15" t="s">
        <v>84</v>
      </c>
      <c r="B106" s="18">
        <v>45691.0</v>
      </c>
      <c r="C106" s="5">
        <v>8420.0</v>
      </c>
    </row>
    <row r="107">
      <c r="A107" s="16"/>
      <c r="B107" s="18">
        <v>45825.0</v>
      </c>
      <c r="C107" s="5">
        <v>12650.0</v>
      </c>
      <c r="K107" s="19"/>
    </row>
    <row r="108">
      <c r="A108" s="16"/>
      <c r="B108" s="18">
        <v>45990.0</v>
      </c>
      <c r="C108" s="5">
        <v>5310.0</v>
      </c>
    </row>
    <row r="109">
      <c r="A109" s="16"/>
      <c r="B109" s="18">
        <v>45883.0</v>
      </c>
      <c r="C109" s="5">
        <v>10245.0</v>
      </c>
    </row>
    <row r="110">
      <c r="A110" s="17"/>
      <c r="B110" s="18">
        <v>45679.0</v>
      </c>
      <c r="C110" s="5">
        <v>7540.0</v>
      </c>
    </row>
    <row r="111">
      <c r="A111" s="15" t="s">
        <v>85</v>
      </c>
      <c r="B111" s="18">
        <v>45725.0</v>
      </c>
      <c r="C111" s="5">
        <v>13720.0</v>
      </c>
    </row>
    <row r="112">
      <c r="A112" s="16"/>
      <c r="B112" s="18">
        <v>46022.0</v>
      </c>
      <c r="C112" s="5">
        <v>4890.0</v>
      </c>
    </row>
    <row r="113">
      <c r="A113" s="16"/>
      <c r="B113" s="18">
        <v>45843.0</v>
      </c>
      <c r="C113" s="5">
        <v>9205.0</v>
      </c>
    </row>
    <row r="114">
      <c r="A114" s="16"/>
      <c r="B114" s="18">
        <v>45926.0</v>
      </c>
      <c r="C114" s="5">
        <v>11830.0</v>
      </c>
    </row>
    <row r="115">
      <c r="A115" s="17"/>
      <c r="B115" s="18">
        <v>45796.0</v>
      </c>
      <c r="C115" s="5">
        <v>6780.0</v>
      </c>
    </row>
    <row r="116">
      <c r="A116" s="15" t="s">
        <v>86</v>
      </c>
      <c r="B116" s="18">
        <v>45941.0</v>
      </c>
      <c r="C116" s="5">
        <v>14250.0</v>
      </c>
    </row>
    <row r="117">
      <c r="A117" s="16"/>
      <c r="B117" s="18">
        <v>45754.0</v>
      </c>
      <c r="C117" s="5">
        <v>5820.0</v>
      </c>
    </row>
    <row r="118">
      <c r="A118" s="16"/>
      <c r="B118" s="18">
        <v>45833.0</v>
      </c>
      <c r="C118" s="5">
        <v>13360.0</v>
      </c>
    </row>
    <row r="119">
      <c r="A119" s="16"/>
      <c r="B119" s="18">
        <v>45899.0</v>
      </c>
      <c r="C119" s="5">
        <v>7130.0</v>
      </c>
    </row>
    <row r="120">
      <c r="A120" s="17"/>
      <c r="B120" s="18">
        <v>45973.0</v>
      </c>
      <c r="C120" s="5">
        <v>12895.0</v>
      </c>
    </row>
    <row r="121">
      <c r="A121" s="15" t="s">
        <v>87</v>
      </c>
      <c r="B121" s="18">
        <v>45661.0</v>
      </c>
      <c r="C121" s="5">
        <v>4005.0</v>
      </c>
    </row>
    <row r="122">
      <c r="A122" s="16"/>
      <c r="B122" s="18">
        <v>45716.0</v>
      </c>
      <c r="C122" s="5">
        <v>10920.0</v>
      </c>
    </row>
    <row r="123">
      <c r="A123" s="16"/>
      <c r="B123" s="18">
        <v>45739.0</v>
      </c>
      <c r="C123" s="5">
        <v>14580.0</v>
      </c>
    </row>
    <row r="124">
      <c r="A124" s="16"/>
      <c r="B124" s="18">
        <v>46007.0</v>
      </c>
      <c r="C124" s="5">
        <v>3690.0</v>
      </c>
    </row>
    <row r="125">
      <c r="A125" s="17"/>
      <c r="B125" s="18">
        <v>45921.0</v>
      </c>
      <c r="C125" s="5">
        <v>11950.0</v>
      </c>
    </row>
    <row r="128">
      <c r="A128" s="1" t="s">
        <v>90</v>
      </c>
    </row>
    <row r="130">
      <c r="A130" s="20" t="s">
        <v>91</v>
      </c>
      <c r="B130" s="20" t="s">
        <v>92</v>
      </c>
      <c r="C130" s="20" t="s">
        <v>93</v>
      </c>
      <c r="D130" s="20" t="s">
        <v>94</v>
      </c>
    </row>
    <row r="131">
      <c r="A131" s="21" t="s">
        <v>22</v>
      </c>
      <c r="B131" s="21">
        <v>24.0</v>
      </c>
      <c r="C131" s="21">
        <v>9.87654321E9</v>
      </c>
      <c r="D131" s="22">
        <v>36649.0</v>
      </c>
    </row>
    <row r="132">
      <c r="A132" s="21" t="s">
        <v>55</v>
      </c>
      <c r="B132" s="21">
        <v>28.0</v>
      </c>
      <c r="C132" s="21">
        <v>9.12345678E9</v>
      </c>
      <c r="D132" s="22">
        <v>35289.0</v>
      </c>
    </row>
    <row r="133">
      <c r="A133" s="21" t="s">
        <v>40</v>
      </c>
      <c r="B133" s="21">
        <v>26.0</v>
      </c>
      <c r="C133" s="21">
        <v>9.81234567E9</v>
      </c>
      <c r="D133" s="22">
        <v>35822.0</v>
      </c>
    </row>
    <row r="134">
      <c r="A134" s="21" t="s">
        <v>31</v>
      </c>
      <c r="B134" s="21">
        <v>22.0</v>
      </c>
      <c r="C134" s="21">
        <v>9.898989898E9</v>
      </c>
      <c r="D134" s="23">
        <v>37579.0</v>
      </c>
    </row>
    <row r="135">
      <c r="A135" s="21" t="s">
        <v>52</v>
      </c>
      <c r="B135" s="21">
        <v>30.0</v>
      </c>
      <c r="C135" s="21">
        <v>9.000000001E9</v>
      </c>
      <c r="D135" s="22">
        <v>34369.0</v>
      </c>
    </row>
    <row r="136">
      <c r="A136" s="21" t="s">
        <v>73</v>
      </c>
      <c r="B136" s="21">
        <v>24.0</v>
      </c>
      <c r="C136" s="21">
        <v>9.87654321E9</v>
      </c>
      <c r="D136" s="22">
        <v>36649.0</v>
      </c>
    </row>
    <row r="137">
      <c r="A137" s="21" t="s">
        <v>58</v>
      </c>
      <c r="B137" s="21">
        <v>27.0</v>
      </c>
      <c r="C137" s="21">
        <v>9.12345678E9</v>
      </c>
      <c r="D137" s="22">
        <v>35289.0</v>
      </c>
    </row>
    <row r="138">
      <c r="A138" s="21" t="s">
        <v>79</v>
      </c>
      <c r="B138" s="21">
        <v>25.0</v>
      </c>
      <c r="C138" s="21">
        <v>9.81234567E9</v>
      </c>
      <c r="D138" s="22">
        <v>36348.0</v>
      </c>
    </row>
    <row r="139">
      <c r="A139" s="21" t="s">
        <v>49</v>
      </c>
      <c r="B139" s="21">
        <v>23.0</v>
      </c>
      <c r="C139" s="21">
        <v>9.898989898E9</v>
      </c>
      <c r="D139" s="22">
        <v>36961.0</v>
      </c>
    </row>
    <row r="140">
      <c r="A140" s="21" t="s">
        <v>70</v>
      </c>
      <c r="B140" s="21">
        <v>31.0</v>
      </c>
      <c r="C140" s="21">
        <v>9.000000002E9</v>
      </c>
      <c r="D140" s="22">
        <v>34087.0</v>
      </c>
    </row>
    <row r="141">
      <c r="A141" s="21" t="s">
        <v>64</v>
      </c>
      <c r="B141" s="21">
        <v>28.0</v>
      </c>
      <c r="C141" s="21">
        <v>9.12345678E9</v>
      </c>
      <c r="D141" s="22">
        <v>35289.0</v>
      </c>
    </row>
    <row r="142">
      <c r="A142" s="21" t="s">
        <v>43</v>
      </c>
      <c r="B142" s="21">
        <v>24.0</v>
      </c>
      <c r="C142" s="21">
        <v>9.87654321E9</v>
      </c>
      <c r="D142" s="22">
        <v>36649.0</v>
      </c>
    </row>
    <row r="143">
      <c r="A143" s="21" t="s">
        <v>46</v>
      </c>
      <c r="B143" s="21">
        <v>29.0</v>
      </c>
      <c r="C143" s="21">
        <v>9.111111111E9</v>
      </c>
      <c r="D143" s="22">
        <v>34958.0</v>
      </c>
    </row>
    <row r="144">
      <c r="A144" s="21" t="s">
        <v>28</v>
      </c>
      <c r="B144" s="21">
        <v>26.0</v>
      </c>
      <c r="C144" s="21">
        <v>9.81234567E9</v>
      </c>
      <c r="D144" s="22">
        <v>35822.0</v>
      </c>
    </row>
    <row r="145">
      <c r="A145" s="21" t="s">
        <v>61</v>
      </c>
      <c r="B145" s="21">
        <v>23.0</v>
      </c>
      <c r="C145" s="21">
        <v>9.898989898E9</v>
      </c>
      <c r="D145" s="22">
        <v>36961.0</v>
      </c>
    </row>
    <row r="148">
      <c r="A148" s="1" t="s">
        <v>95</v>
      </c>
      <c r="B148" s="3" t="s">
        <v>96</v>
      </c>
    </row>
    <row r="150">
      <c r="A150" s="20" t="s">
        <v>91</v>
      </c>
      <c r="B150" s="20" t="s">
        <v>92</v>
      </c>
      <c r="C150" s="20" t="s">
        <v>93</v>
      </c>
      <c r="D150" s="20" t="s">
        <v>94</v>
      </c>
    </row>
    <row r="151">
      <c r="A151" s="21" t="s">
        <v>22</v>
      </c>
      <c r="B151" s="21">
        <v>24.0</v>
      </c>
      <c r="C151" s="21">
        <v>9.87654321E9</v>
      </c>
      <c r="D151" s="22">
        <v>36649.0</v>
      </c>
    </row>
    <row r="152">
      <c r="A152" s="21" t="s">
        <v>55</v>
      </c>
      <c r="B152" s="21">
        <v>28.0</v>
      </c>
      <c r="C152" s="21">
        <v>9.12345678E9</v>
      </c>
      <c r="D152" s="22">
        <v>35289.0</v>
      </c>
    </row>
    <row r="153">
      <c r="A153" s="21" t="s">
        <v>40</v>
      </c>
      <c r="B153" s="21">
        <v>26.0</v>
      </c>
      <c r="C153" s="21">
        <v>9.81234567E9</v>
      </c>
      <c r="D153" s="22">
        <v>35822.0</v>
      </c>
    </row>
    <row r="154">
      <c r="A154" s="21" t="s">
        <v>31</v>
      </c>
      <c r="B154" s="21">
        <v>22.0</v>
      </c>
      <c r="C154" s="21">
        <v>9.898989898E9</v>
      </c>
      <c r="D154" s="23">
        <v>37579.0</v>
      </c>
    </row>
    <row r="155">
      <c r="A155" s="21" t="s">
        <v>52</v>
      </c>
      <c r="B155" s="21">
        <v>30.0</v>
      </c>
      <c r="C155" s="21">
        <v>9.000000001E9</v>
      </c>
      <c r="D155" s="22">
        <v>34369.0</v>
      </c>
    </row>
    <row r="156">
      <c r="A156" s="21" t="s">
        <v>73</v>
      </c>
      <c r="B156" s="21">
        <v>24.0</v>
      </c>
      <c r="C156" s="21">
        <v>9.87654321E9</v>
      </c>
      <c r="D156" s="22">
        <v>36649.0</v>
      </c>
    </row>
    <row r="157">
      <c r="A157" s="21" t="s">
        <v>58</v>
      </c>
      <c r="B157" s="21">
        <v>27.0</v>
      </c>
      <c r="C157" s="21">
        <v>9.12345678E9</v>
      </c>
      <c r="D157" s="22">
        <v>35289.0</v>
      </c>
    </row>
    <row r="158">
      <c r="A158" s="21" t="s">
        <v>22</v>
      </c>
      <c r="B158" s="21">
        <v>24.0</v>
      </c>
      <c r="C158" s="21">
        <v>9.87654321E9</v>
      </c>
      <c r="D158" s="22">
        <v>36649.0</v>
      </c>
    </row>
    <row r="159">
      <c r="A159" s="21" t="s">
        <v>79</v>
      </c>
      <c r="B159" s="21">
        <v>25.0</v>
      </c>
      <c r="C159" s="21">
        <v>9.81234567E9</v>
      </c>
      <c r="D159" s="22">
        <v>36348.0</v>
      </c>
    </row>
    <row r="160">
      <c r="A160" s="21" t="s">
        <v>49</v>
      </c>
      <c r="B160" s="21">
        <v>23.0</v>
      </c>
      <c r="C160" s="21">
        <v>9.898989898E9</v>
      </c>
      <c r="D160" s="22">
        <v>36961.0</v>
      </c>
    </row>
    <row r="161">
      <c r="A161" s="21" t="s">
        <v>70</v>
      </c>
      <c r="B161" s="21">
        <v>31.0</v>
      </c>
      <c r="C161" s="21">
        <v>9.000000002E9</v>
      </c>
      <c r="D161" s="22">
        <v>34087.0</v>
      </c>
    </row>
    <row r="162">
      <c r="A162" s="21" t="s">
        <v>64</v>
      </c>
      <c r="B162" s="21">
        <v>28.0</v>
      </c>
      <c r="C162" s="21">
        <v>9.12345678E9</v>
      </c>
      <c r="D162" s="22">
        <v>35289.0</v>
      </c>
    </row>
    <row r="163">
      <c r="A163" s="21" t="s">
        <v>43</v>
      </c>
      <c r="B163" s="21">
        <v>24.0</v>
      </c>
      <c r="C163" s="21">
        <v>9.87654321E9</v>
      </c>
      <c r="D163" s="22">
        <v>36649.0</v>
      </c>
    </row>
    <row r="164">
      <c r="A164" s="21" t="s">
        <v>22</v>
      </c>
      <c r="B164" s="21">
        <v>24.0</v>
      </c>
      <c r="C164" s="21">
        <v>9.87654321E9</v>
      </c>
      <c r="D164" s="22">
        <v>36649.0</v>
      </c>
    </row>
    <row r="165">
      <c r="A165" s="21" t="s">
        <v>55</v>
      </c>
      <c r="B165" s="21">
        <v>28.0</v>
      </c>
      <c r="C165" s="21">
        <v>9.12345678E9</v>
      </c>
      <c r="D165" s="22">
        <v>35289.0</v>
      </c>
    </row>
    <row r="166">
      <c r="A166" s="21" t="s">
        <v>52</v>
      </c>
      <c r="B166" s="21">
        <v>30.0</v>
      </c>
      <c r="C166" s="21">
        <v>9.000000001E9</v>
      </c>
      <c r="D166" s="22">
        <v>34369.0</v>
      </c>
    </row>
    <row r="167">
      <c r="A167" s="21" t="s">
        <v>31</v>
      </c>
      <c r="B167" s="21">
        <v>22.0</v>
      </c>
      <c r="C167" s="21">
        <v>9.898989898E9</v>
      </c>
      <c r="D167" s="23">
        <v>37579.0</v>
      </c>
    </row>
    <row r="168">
      <c r="A168" s="21" t="s">
        <v>40</v>
      </c>
      <c r="B168" s="21">
        <v>26.0</v>
      </c>
      <c r="C168" s="21">
        <v>9.81234567E9</v>
      </c>
      <c r="D168" s="22">
        <v>35822.0</v>
      </c>
    </row>
    <row r="169">
      <c r="A169" s="21" t="s">
        <v>58</v>
      </c>
      <c r="B169" s="21">
        <v>27.0</v>
      </c>
      <c r="C169" s="21">
        <v>9.12345678E9</v>
      </c>
      <c r="D169" s="22">
        <v>35289.0</v>
      </c>
    </row>
    <row r="170">
      <c r="A170" s="21" t="s">
        <v>49</v>
      </c>
      <c r="B170" s="21">
        <v>23.0</v>
      </c>
      <c r="C170" s="21">
        <v>9.898989898E9</v>
      </c>
      <c r="D170" s="22">
        <v>36961.0</v>
      </c>
    </row>
    <row r="171">
      <c r="A171" s="21" t="s">
        <v>73</v>
      </c>
      <c r="B171" s="21">
        <v>24.0</v>
      </c>
      <c r="C171" s="21">
        <v>9.87654321E9</v>
      </c>
      <c r="D171" s="22">
        <v>36649.0</v>
      </c>
    </row>
    <row r="172">
      <c r="A172" s="21" t="s">
        <v>46</v>
      </c>
      <c r="B172" s="21">
        <v>29.0</v>
      </c>
      <c r="C172" s="21">
        <v>9.111111111E9</v>
      </c>
      <c r="D172" s="22">
        <v>34958.0</v>
      </c>
    </row>
    <row r="173">
      <c r="A173" s="21" t="s">
        <v>28</v>
      </c>
      <c r="B173" s="21">
        <v>26.0</v>
      </c>
      <c r="C173" s="21">
        <v>9.81234567E9</v>
      </c>
      <c r="D173" s="22">
        <v>35822.0</v>
      </c>
    </row>
    <row r="174">
      <c r="A174" s="21" t="s">
        <v>61</v>
      </c>
      <c r="B174" s="21">
        <v>23.0</v>
      </c>
      <c r="C174" s="21">
        <v>9.898989898E9</v>
      </c>
      <c r="D174" s="22">
        <v>36961.0</v>
      </c>
    </row>
    <row r="175">
      <c r="A175" s="21" t="s">
        <v>79</v>
      </c>
      <c r="B175" s="21">
        <v>25.0</v>
      </c>
      <c r="C175" s="21">
        <v>9.81234567E9</v>
      </c>
      <c r="D175" s="22">
        <v>36348.0</v>
      </c>
    </row>
    <row r="176">
      <c r="A176" s="21" t="s">
        <v>22</v>
      </c>
      <c r="B176" s="21">
        <v>24.0</v>
      </c>
      <c r="C176" s="21">
        <v>9.87654321E9</v>
      </c>
      <c r="D176" s="22">
        <v>36649.0</v>
      </c>
    </row>
    <row r="177">
      <c r="A177" s="21" t="s">
        <v>52</v>
      </c>
      <c r="B177" s="21">
        <v>30.0</v>
      </c>
      <c r="C177" s="21">
        <v>9.000000001E9</v>
      </c>
      <c r="D177" s="22">
        <v>34369.0</v>
      </c>
    </row>
    <row r="178">
      <c r="A178" s="21" t="s">
        <v>43</v>
      </c>
      <c r="B178" s="21">
        <v>24.0</v>
      </c>
      <c r="C178" s="21">
        <v>9.87654321E9</v>
      </c>
      <c r="D178" s="22">
        <v>36649.0</v>
      </c>
    </row>
    <row r="179">
      <c r="A179" s="21" t="s">
        <v>31</v>
      </c>
      <c r="B179" s="21">
        <v>22.0</v>
      </c>
      <c r="C179" s="21">
        <v>9.898989898E9</v>
      </c>
      <c r="D179" s="23">
        <v>37579.0</v>
      </c>
    </row>
    <row r="180">
      <c r="A180" s="21" t="s">
        <v>70</v>
      </c>
      <c r="B180" s="21">
        <v>31.0</v>
      </c>
      <c r="C180" s="21">
        <v>9.000000002E9</v>
      </c>
      <c r="D180" s="22">
        <v>34087.0</v>
      </c>
    </row>
    <row r="181">
      <c r="A181" s="21" t="s">
        <v>46</v>
      </c>
      <c r="B181" s="21">
        <v>29.0</v>
      </c>
      <c r="C181" s="21">
        <v>9.111111111E9</v>
      </c>
      <c r="D181" s="22">
        <v>34958.0</v>
      </c>
    </row>
    <row r="182">
      <c r="A182" s="21" t="s">
        <v>55</v>
      </c>
      <c r="B182" s="21">
        <v>28.0</v>
      </c>
      <c r="C182" s="21">
        <v>9.12345678E9</v>
      </c>
      <c r="D182" s="22">
        <v>35289.0</v>
      </c>
    </row>
    <row r="183">
      <c r="A183" s="21" t="s">
        <v>64</v>
      </c>
      <c r="B183" s="21">
        <v>28.0</v>
      </c>
      <c r="C183" s="21">
        <v>9.12345678E9</v>
      </c>
      <c r="D183" s="22">
        <v>35289.0</v>
      </c>
    </row>
    <row r="184">
      <c r="A184" s="21" t="s">
        <v>79</v>
      </c>
      <c r="B184" s="21">
        <v>25.0</v>
      </c>
      <c r="C184" s="21">
        <v>9.81234567E9</v>
      </c>
      <c r="D184" s="22">
        <v>36348.0</v>
      </c>
    </row>
    <row r="185">
      <c r="A185" s="21" t="s">
        <v>58</v>
      </c>
      <c r="B185" s="21">
        <v>27.0</v>
      </c>
      <c r="C185" s="21">
        <v>9.12345678E9</v>
      </c>
      <c r="D185" s="22">
        <v>35289.0</v>
      </c>
    </row>
    <row r="186">
      <c r="A186" s="21" t="s">
        <v>73</v>
      </c>
      <c r="B186" s="21">
        <v>24.0</v>
      </c>
      <c r="C186" s="21">
        <v>9.87654321E9</v>
      </c>
      <c r="D186" s="22">
        <v>36649.0</v>
      </c>
    </row>
    <row r="187">
      <c r="A187" s="21" t="s">
        <v>28</v>
      </c>
      <c r="B187" s="21">
        <v>26.0</v>
      </c>
      <c r="C187" s="21">
        <v>9.81234567E9</v>
      </c>
      <c r="D187" s="22">
        <v>35822.0</v>
      </c>
    </row>
    <row r="188">
      <c r="A188" s="21" t="s">
        <v>40</v>
      </c>
      <c r="B188" s="21">
        <v>26.0</v>
      </c>
      <c r="C188" s="21">
        <v>9.81234567E9</v>
      </c>
      <c r="D188" s="22">
        <v>35822.0</v>
      </c>
    </row>
    <row r="189">
      <c r="A189" s="21" t="s">
        <v>49</v>
      </c>
      <c r="B189" s="21">
        <v>23.0</v>
      </c>
      <c r="C189" s="21">
        <v>9.898989898E9</v>
      </c>
      <c r="D189" s="22">
        <v>36961.0</v>
      </c>
    </row>
    <row r="190">
      <c r="A190" s="21" t="s">
        <v>61</v>
      </c>
      <c r="B190" s="21">
        <v>23.0</v>
      </c>
      <c r="C190" s="21">
        <v>9.898989898E9</v>
      </c>
      <c r="D190" s="22">
        <v>36961.0</v>
      </c>
    </row>
    <row r="191">
      <c r="A191" s="21" t="s">
        <v>31</v>
      </c>
      <c r="B191" s="21">
        <v>22.0</v>
      </c>
      <c r="C191" s="21">
        <v>9.898989898E9</v>
      </c>
      <c r="D191" s="23">
        <v>37579.0</v>
      </c>
    </row>
    <row r="192">
      <c r="A192" s="21" t="s">
        <v>22</v>
      </c>
      <c r="B192" s="21">
        <v>24.0</v>
      </c>
      <c r="C192" s="21">
        <v>9.87654321E9</v>
      </c>
      <c r="D192" s="22">
        <v>36649.0</v>
      </c>
    </row>
    <row r="193">
      <c r="A193" s="21" t="s">
        <v>52</v>
      </c>
      <c r="B193" s="21">
        <v>30.0</v>
      </c>
      <c r="C193" s="21">
        <v>9.000000001E9</v>
      </c>
      <c r="D193" s="22">
        <v>34369.0</v>
      </c>
    </row>
    <row r="194">
      <c r="A194" s="21" t="s">
        <v>46</v>
      </c>
      <c r="B194" s="21">
        <v>29.0</v>
      </c>
      <c r="C194" s="21">
        <v>9.111111111E9</v>
      </c>
      <c r="D194" s="22">
        <v>34958.0</v>
      </c>
    </row>
    <row r="195">
      <c r="A195" s="21" t="s">
        <v>55</v>
      </c>
      <c r="B195" s="21">
        <v>28.0</v>
      </c>
      <c r="C195" s="21">
        <v>9.12345678E9</v>
      </c>
      <c r="D195" s="22">
        <v>35289.0</v>
      </c>
    </row>
    <row r="196">
      <c r="A196" s="21" t="s">
        <v>79</v>
      </c>
      <c r="B196" s="21">
        <v>25.0</v>
      </c>
      <c r="C196" s="21">
        <v>9.81234567E9</v>
      </c>
      <c r="D196" s="22">
        <v>36348.0</v>
      </c>
    </row>
    <row r="197">
      <c r="A197" s="21" t="s">
        <v>73</v>
      </c>
      <c r="B197" s="21">
        <v>24.0</v>
      </c>
      <c r="C197" s="21">
        <v>9.87654321E9</v>
      </c>
      <c r="D197" s="22">
        <v>36649.0</v>
      </c>
    </row>
    <row r="198">
      <c r="A198" s="21" t="s">
        <v>61</v>
      </c>
      <c r="B198" s="21">
        <v>23.0</v>
      </c>
      <c r="C198" s="21">
        <v>9.898989898E9</v>
      </c>
      <c r="D198" s="22">
        <v>36961.0</v>
      </c>
    </row>
    <row r="199">
      <c r="A199" s="21" t="s">
        <v>70</v>
      </c>
      <c r="B199" s="21">
        <v>31.0</v>
      </c>
      <c r="C199" s="21">
        <v>9.000000002E9</v>
      </c>
      <c r="D199" s="22">
        <v>34087.0</v>
      </c>
    </row>
    <row r="200">
      <c r="A200" s="21" t="s">
        <v>22</v>
      </c>
      <c r="B200" s="21">
        <v>24.0</v>
      </c>
      <c r="C200" s="21">
        <v>9.87654321E9</v>
      </c>
      <c r="D200" s="22">
        <v>36649.0</v>
      </c>
    </row>
    <row r="201">
      <c r="A201" s="21" t="s">
        <v>64</v>
      </c>
      <c r="B201" s="21">
        <v>30.0</v>
      </c>
      <c r="C201" s="21">
        <v>9.12345678E9</v>
      </c>
      <c r="D201" s="22">
        <v>35289.0</v>
      </c>
    </row>
  </sheetData>
  <mergeCells count="8">
    <mergeCell ref="A82:A86"/>
    <mergeCell ref="A87:A91"/>
    <mergeCell ref="A92:A96"/>
    <mergeCell ref="A97:A101"/>
    <mergeCell ref="A106:A110"/>
    <mergeCell ref="A111:A115"/>
    <mergeCell ref="A116:A120"/>
    <mergeCell ref="A121:A125"/>
  </mergeCells>
  <conditionalFormatting sqref="C5:H24">
    <cfRule type="colorScale" priority="1">
      <colorScale>
        <cfvo type="min"/>
        <cfvo type="formula" val="40000"/>
        <cfvo type="max"/>
        <color rgb="FFCC0000"/>
        <color rgb="FFFFD966"/>
        <color rgb="FF38761D"/>
      </colorScale>
    </cfRule>
  </conditionalFormatting>
  <conditionalFormatting sqref="C5:H24">
    <cfRule type="notContainsBlanks" dxfId="0" priority="2">
      <formula>LEN(TRIM(C5))&gt;0</formula>
    </cfRule>
  </conditionalFormatting>
  <conditionalFormatting sqref="B106:B125">
    <cfRule type="notContainsBlanks" dxfId="1" priority="3">
      <formula>LEN(TRIM(B106))&gt;0</formula>
    </cfRule>
  </conditionalFormatting>
  <hyperlinks>
    <hyperlink r:id="rId1" ref="E58"/>
    <hyperlink r:id="rId2" ref="E59"/>
    <hyperlink r:id="rId3" ref="E60"/>
    <hyperlink r:id="rId4" ref="E61"/>
    <hyperlink r:id="rId5" ref="E62"/>
    <hyperlink r:id="rId6" ref="E63"/>
    <hyperlink r:id="rId7" ref="E64"/>
    <hyperlink r:id="rId8" ref="E65"/>
    <hyperlink r:id="rId9" ref="E66"/>
    <hyperlink r:id="rId10" ref="E67"/>
    <hyperlink r:id="rId11" ref="E68"/>
    <hyperlink r:id="rId12" ref="E69"/>
    <hyperlink r:id="rId13" ref="E70"/>
    <hyperlink r:id="rId14" ref="E71"/>
    <hyperlink r:id="rId15" ref="E72"/>
    <hyperlink r:id="rId16" ref="E73"/>
    <hyperlink r:id="rId17" ref="E74"/>
    <hyperlink r:id="rId18" ref="E75"/>
    <hyperlink r:id="rId19" ref="E76"/>
    <hyperlink r:id="rId20" ref="E77"/>
    <hyperlink r:id="rId21" ref="E82"/>
    <hyperlink r:id="rId22" ref="E83"/>
    <hyperlink r:id="rId23" ref="E84"/>
    <hyperlink r:id="rId24" ref="E85"/>
    <hyperlink r:id="rId25" ref="E86"/>
    <hyperlink r:id="rId26" ref="E87"/>
    <hyperlink r:id="rId27" ref="E88"/>
    <hyperlink r:id="rId28" ref="E89"/>
    <hyperlink r:id="rId29" ref="E90"/>
    <hyperlink r:id="rId30" ref="E91"/>
    <hyperlink r:id="rId31" ref="E92"/>
    <hyperlink r:id="rId32" ref="E93"/>
    <hyperlink r:id="rId33" ref="E94"/>
    <hyperlink r:id="rId34" ref="E95"/>
    <hyperlink r:id="rId35" ref="E96"/>
    <hyperlink r:id="rId36" ref="E97"/>
    <hyperlink r:id="rId37" ref="E98"/>
    <hyperlink r:id="rId38" ref="E99"/>
    <hyperlink r:id="rId39" ref="E100"/>
    <hyperlink r:id="rId40" ref="E101"/>
  </hyperlinks>
  <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97</v>
      </c>
    </row>
    <row r="3">
      <c r="A3" s="10" t="str">
        <f>IFERROR(__xludf.DUMMYFUNCTION("IMPORTRANGE(""1xTpFXesw_M3wrx-tkV6V3zageVpt--qdKjmAtLU6Jq8"",""sheet1!A150:C201"")"),"Name")</f>
        <v>Name</v>
      </c>
      <c r="B3" s="10" t="str">
        <f>IFERROR(__xludf.DUMMYFUNCTION("""COMPUTED_VALUE"""),"Age")</f>
        <v>Age</v>
      </c>
      <c r="C3" s="10" t="str">
        <f>IFERROR(__xludf.DUMMYFUNCTION("""COMPUTED_VALUE"""),"Phone Number")</f>
        <v>Phone Number</v>
      </c>
    </row>
    <row r="4">
      <c r="A4" s="10" t="str">
        <f>IFERROR(__xludf.DUMMYFUNCTION("""COMPUTED_VALUE"""),"Aarav")</f>
        <v>Aarav</v>
      </c>
      <c r="B4" s="10">
        <f>IFERROR(__xludf.DUMMYFUNCTION("""COMPUTED_VALUE"""),24.0)</f>
        <v>24</v>
      </c>
      <c r="C4" s="10">
        <f>IFERROR(__xludf.DUMMYFUNCTION("""COMPUTED_VALUE"""),9.87654321E9)</f>
        <v>9876543210</v>
      </c>
    </row>
    <row r="5">
      <c r="A5" s="10" t="str">
        <f>IFERROR(__xludf.DUMMYFUNCTION("""COMPUTED_VALUE"""),"Riya")</f>
        <v>Riya</v>
      </c>
      <c r="B5" s="10">
        <f>IFERROR(__xludf.DUMMYFUNCTION("""COMPUTED_VALUE"""),28.0)</f>
        <v>28</v>
      </c>
      <c r="C5" s="10">
        <f>IFERROR(__xludf.DUMMYFUNCTION("""COMPUTED_VALUE"""),9.12345678E9)</f>
        <v>9123456780</v>
      </c>
    </row>
    <row r="6">
      <c r="A6" s="10" t="str">
        <f>IFERROR(__xludf.DUMMYFUNCTION("""COMPUTED_VALUE"""),"Kabir")</f>
        <v>Kabir</v>
      </c>
      <c r="B6" s="10">
        <f>IFERROR(__xludf.DUMMYFUNCTION("""COMPUTED_VALUE"""),26.0)</f>
        <v>26</v>
      </c>
      <c r="C6" s="10">
        <f>IFERROR(__xludf.DUMMYFUNCTION("""COMPUTED_VALUE"""),9.81234567E9)</f>
        <v>9812345670</v>
      </c>
    </row>
    <row r="7">
      <c r="A7" s="10" t="str">
        <f>IFERROR(__xludf.DUMMYFUNCTION("""COMPUTED_VALUE"""),"Meera")</f>
        <v>Meera</v>
      </c>
      <c r="B7" s="10">
        <f>IFERROR(__xludf.DUMMYFUNCTION("""COMPUTED_VALUE"""),22.0)</f>
        <v>22</v>
      </c>
      <c r="C7" s="10">
        <f>IFERROR(__xludf.DUMMYFUNCTION("""COMPUTED_VALUE"""),9.898989898E9)</f>
        <v>9898989898</v>
      </c>
    </row>
    <row r="8">
      <c r="A8" s="10" t="str">
        <f>IFERROR(__xludf.DUMMYFUNCTION("""COMPUTED_VALUE"""),"Aryan")</f>
        <v>Aryan</v>
      </c>
      <c r="B8" s="10">
        <f>IFERROR(__xludf.DUMMYFUNCTION("""COMPUTED_VALUE"""),30.0)</f>
        <v>30</v>
      </c>
      <c r="C8" s="10">
        <f>IFERROR(__xludf.DUMMYFUNCTION("""COMPUTED_VALUE"""),9.000000001E9)</f>
        <v>9000000001</v>
      </c>
    </row>
    <row r="9">
      <c r="A9" s="10" t="str">
        <f>IFERROR(__xludf.DUMMYFUNCTION("""COMPUTED_VALUE"""),"Neha")</f>
        <v>Neha</v>
      </c>
      <c r="B9" s="10">
        <f>IFERROR(__xludf.DUMMYFUNCTION("""COMPUTED_VALUE"""),24.0)</f>
        <v>24</v>
      </c>
      <c r="C9" s="10">
        <f>IFERROR(__xludf.DUMMYFUNCTION("""COMPUTED_VALUE"""),9.87654321E9)</f>
        <v>9876543210</v>
      </c>
    </row>
    <row r="10">
      <c r="A10" s="10" t="str">
        <f>IFERROR(__xludf.DUMMYFUNCTION("""COMPUTED_VALUE"""),"Kunal")</f>
        <v>Kunal</v>
      </c>
      <c r="B10" s="10">
        <f>IFERROR(__xludf.DUMMYFUNCTION("""COMPUTED_VALUE"""),27.0)</f>
        <v>27</v>
      </c>
      <c r="C10" s="10">
        <f>IFERROR(__xludf.DUMMYFUNCTION("""COMPUTED_VALUE"""),9.12345678E9)</f>
        <v>9123456780</v>
      </c>
    </row>
    <row r="11">
      <c r="A11" s="10" t="str">
        <f>IFERROR(__xludf.DUMMYFUNCTION("""COMPUTED_VALUE"""),"Aarav")</f>
        <v>Aarav</v>
      </c>
      <c r="B11" s="10">
        <f>IFERROR(__xludf.DUMMYFUNCTION("""COMPUTED_VALUE"""),24.0)</f>
        <v>24</v>
      </c>
      <c r="C11" s="10">
        <f>IFERROR(__xludf.DUMMYFUNCTION("""COMPUTED_VALUE"""),9.87654321E9)</f>
        <v>9876543210</v>
      </c>
    </row>
    <row r="12">
      <c r="A12" s="10" t="str">
        <f>IFERROR(__xludf.DUMMYFUNCTION("""COMPUTED_VALUE"""),"Priya")</f>
        <v>Priya</v>
      </c>
      <c r="B12" s="10">
        <f>IFERROR(__xludf.DUMMYFUNCTION("""COMPUTED_VALUE"""),25.0)</f>
        <v>25</v>
      </c>
      <c r="C12" s="10">
        <f>IFERROR(__xludf.DUMMYFUNCTION("""COMPUTED_VALUE"""),9.81234567E9)</f>
        <v>9812345670</v>
      </c>
    </row>
    <row r="13">
      <c r="A13" s="10" t="str">
        <f>IFERROR(__xludf.DUMMYFUNCTION("""COMPUTED_VALUE"""),"Diya")</f>
        <v>Diya</v>
      </c>
      <c r="B13" s="10">
        <f>IFERROR(__xludf.DUMMYFUNCTION("""COMPUTED_VALUE"""),23.0)</f>
        <v>23</v>
      </c>
      <c r="C13" s="10">
        <f>IFERROR(__xludf.DUMMYFUNCTION("""COMPUTED_VALUE"""),9.898989898E9)</f>
        <v>9898989898</v>
      </c>
    </row>
    <row r="14">
      <c r="A14" s="10" t="str">
        <f>IFERROR(__xludf.DUMMYFUNCTION("""COMPUTED_VALUE"""),"Raj")</f>
        <v>Raj</v>
      </c>
      <c r="B14" s="10">
        <f>IFERROR(__xludf.DUMMYFUNCTION("""COMPUTED_VALUE"""),31.0)</f>
        <v>31</v>
      </c>
      <c r="C14" s="10">
        <f>IFERROR(__xludf.DUMMYFUNCTION("""COMPUTED_VALUE"""),9.000000002E9)</f>
        <v>9000000002</v>
      </c>
    </row>
    <row r="15">
      <c r="A15" s="10" t="str">
        <f>IFERROR(__xludf.DUMMYFUNCTION("""COMPUTED_VALUE"""),"Yash")</f>
        <v>Yash</v>
      </c>
      <c r="B15" s="10">
        <f>IFERROR(__xludf.DUMMYFUNCTION("""COMPUTED_VALUE"""),28.0)</f>
        <v>28</v>
      </c>
      <c r="C15" s="10">
        <f>IFERROR(__xludf.DUMMYFUNCTION("""COMPUTED_VALUE"""),9.12345678E9)</f>
        <v>9123456780</v>
      </c>
    </row>
    <row r="16">
      <c r="A16" s="10" t="str">
        <f>IFERROR(__xludf.DUMMYFUNCTION("""COMPUTED_VALUE"""),"Anaya")</f>
        <v>Anaya</v>
      </c>
      <c r="B16" s="10">
        <f>IFERROR(__xludf.DUMMYFUNCTION("""COMPUTED_VALUE"""),24.0)</f>
        <v>24</v>
      </c>
      <c r="C16" s="10">
        <f>IFERROR(__xludf.DUMMYFUNCTION("""COMPUTED_VALUE"""),9.87654321E9)</f>
        <v>9876543210</v>
      </c>
    </row>
    <row r="17">
      <c r="A17" s="10" t="str">
        <f>IFERROR(__xludf.DUMMYFUNCTION("""COMPUTED_VALUE"""),"Aarav")</f>
        <v>Aarav</v>
      </c>
      <c r="B17" s="10">
        <f>IFERROR(__xludf.DUMMYFUNCTION("""COMPUTED_VALUE"""),24.0)</f>
        <v>24</v>
      </c>
      <c r="C17" s="10">
        <f>IFERROR(__xludf.DUMMYFUNCTION("""COMPUTED_VALUE"""),9.87654321E9)</f>
        <v>9876543210</v>
      </c>
    </row>
    <row r="18">
      <c r="A18" s="10" t="str">
        <f>IFERROR(__xludf.DUMMYFUNCTION("""COMPUTED_VALUE"""),"Riya")</f>
        <v>Riya</v>
      </c>
      <c r="B18" s="10">
        <f>IFERROR(__xludf.DUMMYFUNCTION("""COMPUTED_VALUE"""),28.0)</f>
        <v>28</v>
      </c>
      <c r="C18" s="10">
        <f>IFERROR(__xludf.DUMMYFUNCTION("""COMPUTED_VALUE"""),9.12345678E9)</f>
        <v>9123456780</v>
      </c>
    </row>
    <row r="19">
      <c r="A19" s="10" t="str">
        <f>IFERROR(__xludf.DUMMYFUNCTION("""COMPUTED_VALUE"""),"Aryan")</f>
        <v>Aryan</v>
      </c>
      <c r="B19" s="10">
        <f>IFERROR(__xludf.DUMMYFUNCTION("""COMPUTED_VALUE"""),30.0)</f>
        <v>30</v>
      </c>
      <c r="C19" s="10">
        <f>IFERROR(__xludf.DUMMYFUNCTION("""COMPUTED_VALUE"""),9.000000001E9)</f>
        <v>9000000001</v>
      </c>
    </row>
    <row r="20">
      <c r="A20" s="10" t="str">
        <f>IFERROR(__xludf.DUMMYFUNCTION("""COMPUTED_VALUE"""),"Meera")</f>
        <v>Meera</v>
      </c>
      <c r="B20" s="10">
        <f>IFERROR(__xludf.DUMMYFUNCTION("""COMPUTED_VALUE"""),22.0)</f>
        <v>22</v>
      </c>
      <c r="C20" s="10">
        <f>IFERROR(__xludf.DUMMYFUNCTION("""COMPUTED_VALUE"""),9.898989898E9)</f>
        <v>9898989898</v>
      </c>
    </row>
    <row r="21">
      <c r="A21" s="10" t="str">
        <f>IFERROR(__xludf.DUMMYFUNCTION("""COMPUTED_VALUE"""),"Kabir")</f>
        <v>Kabir</v>
      </c>
      <c r="B21" s="10">
        <f>IFERROR(__xludf.DUMMYFUNCTION("""COMPUTED_VALUE"""),26.0)</f>
        <v>26</v>
      </c>
      <c r="C21" s="10">
        <f>IFERROR(__xludf.DUMMYFUNCTION("""COMPUTED_VALUE"""),9.81234567E9)</f>
        <v>9812345670</v>
      </c>
    </row>
    <row r="22">
      <c r="A22" s="10" t="str">
        <f>IFERROR(__xludf.DUMMYFUNCTION("""COMPUTED_VALUE"""),"Kunal")</f>
        <v>Kunal</v>
      </c>
      <c r="B22" s="10">
        <f>IFERROR(__xludf.DUMMYFUNCTION("""COMPUTED_VALUE"""),27.0)</f>
        <v>27</v>
      </c>
      <c r="C22" s="10">
        <f>IFERROR(__xludf.DUMMYFUNCTION("""COMPUTED_VALUE"""),9.12345678E9)</f>
        <v>9123456780</v>
      </c>
    </row>
    <row r="23">
      <c r="A23" s="10" t="str">
        <f>IFERROR(__xludf.DUMMYFUNCTION("""COMPUTED_VALUE"""),"Diya")</f>
        <v>Diya</v>
      </c>
      <c r="B23" s="10">
        <f>IFERROR(__xludf.DUMMYFUNCTION("""COMPUTED_VALUE"""),23.0)</f>
        <v>23</v>
      </c>
      <c r="C23" s="10">
        <f>IFERROR(__xludf.DUMMYFUNCTION("""COMPUTED_VALUE"""),9.898989898E9)</f>
        <v>9898989898</v>
      </c>
    </row>
    <row r="24">
      <c r="A24" s="10" t="str">
        <f>IFERROR(__xludf.DUMMYFUNCTION("""COMPUTED_VALUE"""),"Neha")</f>
        <v>Neha</v>
      </c>
      <c r="B24" s="10">
        <f>IFERROR(__xludf.DUMMYFUNCTION("""COMPUTED_VALUE"""),24.0)</f>
        <v>24</v>
      </c>
      <c r="C24" s="10">
        <f>IFERROR(__xludf.DUMMYFUNCTION("""COMPUTED_VALUE"""),9.87654321E9)</f>
        <v>9876543210</v>
      </c>
    </row>
    <row r="25">
      <c r="A25" s="10" t="str">
        <f>IFERROR(__xludf.DUMMYFUNCTION("""COMPUTED_VALUE"""),"Vivaan")</f>
        <v>Vivaan</v>
      </c>
      <c r="B25" s="10">
        <f>IFERROR(__xludf.DUMMYFUNCTION("""COMPUTED_VALUE"""),29.0)</f>
        <v>29</v>
      </c>
      <c r="C25" s="10">
        <f>IFERROR(__xludf.DUMMYFUNCTION("""COMPUTED_VALUE"""),9.111111111E9)</f>
        <v>9111111111</v>
      </c>
    </row>
    <row r="26">
      <c r="A26" s="10" t="str">
        <f>IFERROR(__xludf.DUMMYFUNCTION("""COMPUTED_VALUE"""),"Rohan")</f>
        <v>Rohan</v>
      </c>
      <c r="B26" s="10">
        <f>IFERROR(__xludf.DUMMYFUNCTION("""COMPUTED_VALUE"""),26.0)</f>
        <v>26</v>
      </c>
      <c r="C26" s="10">
        <f>IFERROR(__xludf.DUMMYFUNCTION("""COMPUTED_VALUE"""),9.81234567E9)</f>
        <v>9812345670</v>
      </c>
    </row>
    <row r="27">
      <c r="A27" s="10" t="str">
        <f>IFERROR(__xludf.DUMMYFUNCTION("""COMPUTED_VALUE"""),"Simran")</f>
        <v>Simran</v>
      </c>
      <c r="B27" s="10">
        <f>IFERROR(__xludf.DUMMYFUNCTION("""COMPUTED_VALUE"""),23.0)</f>
        <v>23</v>
      </c>
      <c r="C27" s="10">
        <f>IFERROR(__xludf.DUMMYFUNCTION("""COMPUTED_VALUE"""),9.898989898E9)</f>
        <v>9898989898</v>
      </c>
    </row>
    <row r="28">
      <c r="A28" s="10" t="str">
        <f>IFERROR(__xludf.DUMMYFUNCTION("""COMPUTED_VALUE"""),"Priya")</f>
        <v>Priya</v>
      </c>
      <c r="B28" s="10">
        <f>IFERROR(__xludf.DUMMYFUNCTION("""COMPUTED_VALUE"""),25.0)</f>
        <v>25</v>
      </c>
      <c r="C28" s="10">
        <f>IFERROR(__xludf.DUMMYFUNCTION("""COMPUTED_VALUE"""),9.81234567E9)</f>
        <v>9812345670</v>
      </c>
    </row>
    <row r="29">
      <c r="A29" s="10" t="str">
        <f>IFERROR(__xludf.DUMMYFUNCTION("""COMPUTED_VALUE"""),"Aarav")</f>
        <v>Aarav</v>
      </c>
      <c r="B29" s="10">
        <f>IFERROR(__xludf.DUMMYFUNCTION("""COMPUTED_VALUE"""),24.0)</f>
        <v>24</v>
      </c>
      <c r="C29" s="10">
        <f>IFERROR(__xludf.DUMMYFUNCTION("""COMPUTED_VALUE"""),9.87654321E9)</f>
        <v>9876543210</v>
      </c>
    </row>
    <row r="30">
      <c r="A30" s="10" t="str">
        <f>IFERROR(__xludf.DUMMYFUNCTION("""COMPUTED_VALUE"""),"Aryan")</f>
        <v>Aryan</v>
      </c>
      <c r="B30" s="10">
        <f>IFERROR(__xludf.DUMMYFUNCTION("""COMPUTED_VALUE"""),30.0)</f>
        <v>30</v>
      </c>
      <c r="C30" s="10">
        <f>IFERROR(__xludf.DUMMYFUNCTION("""COMPUTED_VALUE"""),9.000000001E9)</f>
        <v>9000000001</v>
      </c>
    </row>
    <row r="31">
      <c r="A31" s="10" t="str">
        <f>IFERROR(__xludf.DUMMYFUNCTION("""COMPUTED_VALUE"""),"Anaya")</f>
        <v>Anaya</v>
      </c>
      <c r="B31" s="10">
        <f>IFERROR(__xludf.DUMMYFUNCTION("""COMPUTED_VALUE"""),24.0)</f>
        <v>24</v>
      </c>
      <c r="C31" s="10">
        <f>IFERROR(__xludf.DUMMYFUNCTION("""COMPUTED_VALUE"""),9.87654321E9)</f>
        <v>9876543210</v>
      </c>
    </row>
    <row r="32">
      <c r="A32" s="10" t="str">
        <f>IFERROR(__xludf.DUMMYFUNCTION("""COMPUTED_VALUE"""),"Meera")</f>
        <v>Meera</v>
      </c>
      <c r="B32" s="10">
        <f>IFERROR(__xludf.DUMMYFUNCTION("""COMPUTED_VALUE"""),22.0)</f>
        <v>22</v>
      </c>
      <c r="C32" s="10">
        <f>IFERROR(__xludf.DUMMYFUNCTION("""COMPUTED_VALUE"""),9.898989898E9)</f>
        <v>9898989898</v>
      </c>
    </row>
    <row r="33">
      <c r="A33" s="10" t="str">
        <f>IFERROR(__xludf.DUMMYFUNCTION("""COMPUTED_VALUE"""),"Raj")</f>
        <v>Raj</v>
      </c>
      <c r="B33" s="10">
        <f>IFERROR(__xludf.DUMMYFUNCTION("""COMPUTED_VALUE"""),31.0)</f>
        <v>31</v>
      </c>
      <c r="C33" s="10">
        <f>IFERROR(__xludf.DUMMYFUNCTION("""COMPUTED_VALUE"""),9.000000002E9)</f>
        <v>9000000002</v>
      </c>
    </row>
    <row r="34">
      <c r="A34" s="10" t="str">
        <f>IFERROR(__xludf.DUMMYFUNCTION("""COMPUTED_VALUE"""),"Vivaan")</f>
        <v>Vivaan</v>
      </c>
      <c r="B34" s="10">
        <f>IFERROR(__xludf.DUMMYFUNCTION("""COMPUTED_VALUE"""),29.0)</f>
        <v>29</v>
      </c>
      <c r="C34" s="10">
        <f>IFERROR(__xludf.DUMMYFUNCTION("""COMPUTED_VALUE"""),9.111111111E9)</f>
        <v>9111111111</v>
      </c>
    </row>
    <row r="35">
      <c r="A35" s="10" t="str">
        <f>IFERROR(__xludf.DUMMYFUNCTION("""COMPUTED_VALUE"""),"Riya")</f>
        <v>Riya</v>
      </c>
      <c r="B35" s="10">
        <f>IFERROR(__xludf.DUMMYFUNCTION("""COMPUTED_VALUE"""),28.0)</f>
        <v>28</v>
      </c>
      <c r="C35" s="10">
        <f>IFERROR(__xludf.DUMMYFUNCTION("""COMPUTED_VALUE"""),9.12345678E9)</f>
        <v>9123456780</v>
      </c>
    </row>
    <row r="36">
      <c r="A36" s="10" t="str">
        <f>IFERROR(__xludf.DUMMYFUNCTION("""COMPUTED_VALUE"""),"Yash")</f>
        <v>Yash</v>
      </c>
      <c r="B36" s="10">
        <f>IFERROR(__xludf.DUMMYFUNCTION("""COMPUTED_VALUE"""),28.0)</f>
        <v>28</v>
      </c>
      <c r="C36" s="10">
        <f>IFERROR(__xludf.DUMMYFUNCTION("""COMPUTED_VALUE"""),9.12345678E9)</f>
        <v>9123456780</v>
      </c>
    </row>
    <row r="37">
      <c r="A37" s="10" t="str">
        <f>IFERROR(__xludf.DUMMYFUNCTION("""COMPUTED_VALUE"""),"Priya")</f>
        <v>Priya</v>
      </c>
      <c r="B37" s="10">
        <f>IFERROR(__xludf.DUMMYFUNCTION("""COMPUTED_VALUE"""),25.0)</f>
        <v>25</v>
      </c>
      <c r="C37" s="10">
        <f>IFERROR(__xludf.DUMMYFUNCTION("""COMPUTED_VALUE"""),9.81234567E9)</f>
        <v>9812345670</v>
      </c>
    </row>
    <row r="38">
      <c r="A38" s="10" t="str">
        <f>IFERROR(__xludf.DUMMYFUNCTION("""COMPUTED_VALUE"""),"Kunal")</f>
        <v>Kunal</v>
      </c>
      <c r="B38" s="10">
        <f>IFERROR(__xludf.DUMMYFUNCTION("""COMPUTED_VALUE"""),27.0)</f>
        <v>27</v>
      </c>
      <c r="C38" s="10">
        <f>IFERROR(__xludf.DUMMYFUNCTION("""COMPUTED_VALUE"""),9.12345678E9)</f>
        <v>9123456780</v>
      </c>
    </row>
    <row r="39">
      <c r="A39" s="10" t="str">
        <f>IFERROR(__xludf.DUMMYFUNCTION("""COMPUTED_VALUE"""),"Neha")</f>
        <v>Neha</v>
      </c>
      <c r="B39" s="10">
        <f>IFERROR(__xludf.DUMMYFUNCTION("""COMPUTED_VALUE"""),24.0)</f>
        <v>24</v>
      </c>
      <c r="C39" s="10">
        <f>IFERROR(__xludf.DUMMYFUNCTION("""COMPUTED_VALUE"""),9.87654321E9)</f>
        <v>9876543210</v>
      </c>
    </row>
    <row r="40">
      <c r="A40" s="10" t="str">
        <f>IFERROR(__xludf.DUMMYFUNCTION("""COMPUTED_VALUE"""),"Rohan")</f>
        <v>Rohan</v>
      </c>
      <c r="B40" s="10">
        <f>IFERROR(__xludf.DUMMYFUNCTION("""COMPUTED_VALUE"""),26.0)</f>
        <v>26</v>
      </c>
      <c r="C40" s="10">
        <f>IFERROR(__xludf.DUMMYFUNCTION("""COMPUTED_VALUE"""),9.81234567E9)</f>
        <v>9812345670</v>
      </c>
    </row>
    <row r="41">
      <c r="A41" s="10" t="str">
        <f>IFERROR(__xludf.DUMMYFUNCTION("""COMPUTED_VALUE"""),"Kabir")</f>
        <v>Kabir</v>
      </c>
      <c r="B41" s="10">
        <f>IFERROR(__xludf.DUMMYFUNCTION("""COMPUTED_VALUE"""),26.0)</f>
        <v>26</v>
      </c>
      <c r="C41" s="10">
        <f>IFERROR(__xludf.DUMMYFUNCTION("""COMPUTED_VALUE"""),9.81234567E9)</f>
        <v>9812345670</v>
      </c>
    </row>
    <row r="42">
      <c r="A42" s="10" t="str">
        <f>IFERROR(__xludf.DUMMYFUNCTION("""COMPUTED_VALUE"""),"Diya")</f>
        <v>Diya</v>
      </c>
      <c r="B42" s="10">
        <f>IFERROR(__xludf.DUMMYFUNCTION("""COMPUTED_VALUE"""),23.0)</f>
        <v>23</v>
      </c>
      <c r="C42" s="10">
        <f>IFERROR(__xludf.DUMMYFUNCTION("""COMPUTED_VALUE"""),9.898989898E9)</f>
        <v>9898989898</v>
      </c>
    </row>
    <row r="43">
      <c r="A43" s="10" t="str">
        <f>IFERROR(__xludf.DUMMYFUNCTION("""COMPUTED_VALUE"""),"Simran")</f>
        <v>Simran</v>
      </c>
      <c r="B43" s="10">
        <f>IFERROR(__xludf.DUMMYFUNCTION("""COMPUTED_VALUE"""),23.0)</f>
        <v>23</v>
      </c>
      <c r="C43" s="10">
        <f>IFERROR(__xludf.DUMMYFUNCTION("""COMPUTED_VALUE"""),9.898989898E9)</f>
        <v>9898989898</v>
      </c>
    </row>
    <row r="44">
      <c r="A44" s="10" t="str">
        <f>IFERROR(__xludf.DUMMYFUNCTION("""COMPUTED_VALUE"""),"Meera")</f>
        <v>Meera</v>
      </c>
      <c r="B44" s="10">
        <f>IFERROR(__xludf.DUMMYFUNCTION("""COMPUTED_VALUE"""),22.0)</f>
        <v>22</v>
      </c>
      <c r="C44" s="10">
        <f>IFERROR(__xludf.DUMMYFUNCTION("""COMPUTED_VALUE"""),9.898989898E9)</f>
        <v>9898989898</v>
      </c>
    </row>
    <row r="45">
      <c r="A45" s="10" t="str">
        <f>IFERROR(__xludf.DUMMYFUNCTION("""COMPUTED_VALUE"""),"Aarav")</f>
        <v>Aarav</v>
      </c>
      <c r="B45" s="10">
        <f>IFERROR(__xludf.DUMMYFUNCTION("""COMPUTED_VALUE"""),24.0)</f>
        <v>24</v>
      </c>
      <c r="C45" s="10">
        <f>IFERROR(__xludf.DUMMYFUNCTION("""COMPUTED_VALUE"""),9.87654321E9)</f>
        <v>9876543210</v>
      </c>
    </row>
    <row r="46">
      <c r="A46" s="10" t="str">
        <f>IFERROR(__xludf.DUMMYFUNCTION("""COMPUTED_VALUE"""),"Aryan")</f>
        <v>Aryan</v>
      </c>
      <c r="B46" s="10">
        <f>IFERROR(__xludf.DUMMYFUNCTION("""COMPUTED_VALUE"""),30.0)</f>
        <v>30</v>
      </c>
      <c r="C46" s="10">
        <f>IFERROR(__xludf.DUMMYFUNCTION("""COMPUTED_VALUE"""),9.000000001E9)</f>
        <v>9000000001</v>
      </c>
    </row>
    <row r="47">
      <c r="A47" s="10" t="str">
        <f>IFERROR(__xludf.DUMMYFUNCTION("""COMPUTED_VALUE"""),"Vivaan")</f>
        <v>Vivaan</v>
      </c>
      <c r="B47" s="10">
        <f>IFERROR(__xludf.DUMMYFUNCTION("""COMPUTED_VALUE"""),29.0)</f>
        <v>29</v>
      </c>
      <c r="C47" s="10">
        <f>IFERROR(__xludf.DUMMYFUNCTION("""COMPUTED_VALUE"""),9.111111111E9)</f>
        <v>9111111111</v>
      </c>
    </row>
    <row r="48">
      <c r="A48" s="10" t="str">
        <f>IFERROR(__xludf.DUMMYFUNCTION("""COMPUTED_VALUE"""),"Riya")</f>
        <v>Riya</v>
      </c>
      <c r="B48" s="10">
        <f>IFERROR(__xludf.DUMMYFUNCTION("""COMPUTED_VALUE"""),28.0)</f>
        <v>28</v>
      </c>
      <c r="C48" s="10">
        <f>IFERROR(__xludf.DUMMYFUNCTION("""COMPUTED_VALUE"""),9.12345678E9)</f>
        <v>9123456780</v>
      </c>
    </row>
    <row r="49">
      <c r="A49" s="10" t="str">
        <f>IFERROR(__xludf.DUMMYFUNCTION("""COMPUTED_VALUE"""),"Priya")</f>
        <v>Priya</v>
      </c>
      <c r="B49" s="10">
        <f>IFERROR(__xludf.DUMMYFUNCTION("""COMPUTED_VALUE"""),25.0)</f>
        <v>25</v>
      </c>
      <c r="C49" s="10">
        <f>IFERROR(__xludf.DUMMYFUNCTION("""COMPUTED_VALUE"""),9.81234567E9)</f>
        <v>9812345670</v>
      </c>
    </row>
    <row r="50">
      <c r="A50" s="10" t="str">
        <f>IFERROR(__xludf.DUMMYFUNCTION("""COMPUTED_VALUE"""),"Neha")</f>
        <v>Neha</v>
      </c>
      <c r="B50" s="10">
        <f>IFERROR(__xludf.DUMMYFUNCTION("""COMPUTED_VALUE"""),24.0)</f>
        <v>24</v>
      </c>
      <c r="C50" s="10">
        <f>IFERROR(__xludf.DUMMYFUNCTION("""COMPUTED_VALUE"""),9.87654321E9)</f>
        <v>9876543210</v>
      </c>
    </row>
    <row r="51">
      <c r="A51" s="10" t="str">
        <f>IFERROR(__xludf.DUMMYFUNCTION("""COMPUTED_VALUE"""),"Simran")</f>
        <v>Simran</v>
      </c>
      <c r="B51" s="10">
        <f>IFERROR(__xludf.DUMMYFUNCTION("""COMPUTED_VALUE"""),23.0)</f>
        <v>23</v>
      </c>
      <c r="C51" s="10">
        <f>IFERROR(__xludf.DUMMYFUNCTION("""COMPUTED_VALUE"""),9.898989898E9)</f>
        <v>9898989898</v>
      </c>
    </row>
    <row r="52">
      <c r="A52" s="10" t="str">
        <f>IFERROR(__xludf.DUMMYFUNCTION("""COMPUTED_VALUE"""),"Raj")</f>
        <v>Raj</v>
      </c>
      <c r="B52" s="10">
        <f>IFERROR(__xludf.DUMMYFUNCTION("""COMPUTED_VALUE"""),31.0)</f>
        <v>31</v>
      </c>
      <c r="C52" s="10">
        <f>IFERROR(__xludf.DUMMYFUNCTION("""COMPUTED_VALUE"""),9.000000002E9)</f>
        <v>9000000002</v>
      </c>
    </row>
    <row r="53">
      <c r="A53" s="10" t="str">
        <f>IFERROR(__xludf.DUMMYFUNCTION("""COMPUTED_VALUE"""),"Aarav")</f>
        <v>Aarav</v>
      </c>
      <c r="B53" s="10">
        <f>IFERROR(__xludf.DUMMYFUNCTION("""COMPUTED_VALUE"""),24.0)</f>
        <v>24</v>
      </c>
      <c r="C53" s="10">
        <f>IFERROR(__xludf.DUMMYFUNCTION("""COMPUTED_VALUE"""),9.87654321E9)</f>
        <v>9876543210</v>
      </c>
    </row>
    <row r="54">
      <c r="A54" s="10" t="str">
        <f>IFERROR(__xludf.DUMMYFUNCTION("""COMPUTED_VALUE"""),"Yash")</f>
        <v>Yash</v>
      </c>
      <c r="B54" s="10">
        <f>IFERROR(__xludf.DUMMYFUNCTION("""COMPUTED_VALUE"""),30.0)</f>
        <v>30</v>
      </c>
      <c r="C54" s="10">
        <f>IFERROR(__xludf.DUMMYFUNCTION("""COMPUTED_VALUE"""),9.12345678E9)</f>
        <v>9123456780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2" t="s">
        <v>1</v>
      </c>
      <c r="B3" s="2" t="s">
        <v>14</v>
      </c>
      <c r="C3" s="2" t="s">
        <v>19</v>
      </c>
    </row>
    <row r="4">
      <c r="A4" s="24">
        <v>45691.0</v>
      </c>
      <c r="B4" s="25">
        <v>7.2839015E7</v>
      </c>
      <c r="C4" s="25" t="s">
        <v>22</v>
      </c>
    </row>
    <row r="5">
      <c r="A5" s="24">
        <v>45825.0</v>
      </c>
      <c r="B5" s="25">
        <v>1.8475029E7</v>
      </c>
      <c r="C5" s="25" t="s">
        <v>25</v>
      </c>
    </row>
    <row r="6">
      <c r="A6" s="26">
        <v>45990.0</v>
      </c>
      <c r="B6" s="25">
        <v>9.0562137E7</v>
      </c>
      <c r="C6" s="25" t="s">
        <v>28</v>
      </c>
    </row>
    <row r="7">
      <c r="A7" s="24">
        <v>45883.0</v>
      </c>
      <c r="B7" s="25">
        <v>6.7284905E7</v>
      </c>
      <c r="C7" s="25" t="s">
        <v>31</v>
      </c>
    </row>
    <row r="8">
      <c r="A8" s="24">
        <v>45679.0</v>
      </c>
      <c r="B8" s="25">
        <v>5.9301726E7</v>
      </c>
      <c r="C8" s="25" t="s">
        <v>34</v>
      </c>
    </row>
    <row r="9">
      <c r="A9" s="24">
        <v>45725.0</v>
      </c>
      <c r="B9" s="25">
        <v>8.2046193E7</v>
      </c>
      <c r="C9" s="25" t="s">
        <v>37</v>
      </c>
    </row>
    <row r="10">
      <c r="A10" s="26">
        <v>46022.0</v>
      </c>
      <c r="B10" s="25">
        <v>3.7192058E7</v>
      </c>
      <c r="C10" s="25" t="s">
        <v>40</v>
      </c>
    </row>
    <row r="11">
      <c r="A11" s="24">
        <v>45843.0</v>
      </c>
      <c r="B11" s="25">
        <v>6.4058913E7</v>
      </c>
      <c r="C11" s="25" t="s">
        <v>43</v>
      </c>
    </row>
    <row r="12">
      <c r="A12" s="24">
        <v>45926.0</v>
      </c>
      <c r="B12" s="25">
        <v>5.1720468E7</v>
      </c>
      <c r="C12" s="25" t="s">
        <v>46</v>
      </c>
    </row>
    <row r="13">
      <c r="A13" s="24">
        <v>45796.0</v>
      </c>
      <c r="B13" s="25">
        <v>7.3618204E7</v>
      </c>
      <c r="C13" s="25" t="s">
        <v>49</v>
      </c>
    </row>
    <row r="14">
      <c r="A14" s="26">
        <v>45941.0</v>
      </c>
      <c r="B14" s="25">
        <v>8.9274016E7</v>
      </c>
      <c r="C14" s="25" t="s">
        <v>52</v>
      </c>
    </row>
    <row r="15">
      <c r="A15" s="24">
        <v>45754.0</v>
      </c>
      <c r="B15" s="25">
        <v>2.6058391E7</v>
      </c>
      <c r="C15" s="25" t="s">
        <v>55</v>
      </c>
    </row>
    <row r="16">
      <c r="A16" s="24">
        <v>45833.0</v>
      </c>
      <c r="B16" s="25">
        <v>7.3045918E7</v>
      </c>
      <c r="C16" s="25" t="s">
        <v>58</v>
      </c>
    </row>
    <row r="17">
      <c r="A17" s="24">
        <v>45899.0</v>
      </c>
      <c r="B17" s="25">
        <v>1.4582079E7</v>
      </c>
      <c r="C17" s="25" t="s">
        <v>61</v>
      </c>
    </row>
    <row r="18">
      <c r="A18" s="26">
        <v>45973.0</v>
      </c>
      <c r="B18" s="25">
        <v>6.0928317E7</v>
      </c>
      <c r="C18" s="25" t="s">
        <v>64</v>
      </c>
    </row>
    <row r="19">
      <c r="A19" s="24">
        <v>45661.0</v>
      </c>
      <c r="B19" s="25">
        <v>8.5172064E7</v>
      </c>
      <c r="C19" s="25" t="s">
        <v>67</v>
      </c>
    </row>
    <row r="20">
      <c r="A20" s="24">
        <v>45716.0</v>
      </c>
      <c r="B20" s="25">
        <v>1.9482037E7</v>
      </c>
      <c r="C20" s="25" t="s">
        <v>70</v>
      </c>
    </row>
    <row r="21">
      <c r="A21" s="24">
        <v>45739.0</v>
      </c>
      <c r="B21" s="25">
        <v>6.3051824E7</v>
      </c>
      <c r="C21" s="25" t="s">
        <v>73</v>
      </c>
    </row>
    <row r="22">
      <c r="A22" s="26">
        <v>46007.0</v>
      </c>
      <c r="B22" s="25">
        <v>7.0249361E7</v>
      </c>
      <c r="C22" s="25" t="s">
        <v>76</v>
      </c>
    </row>
    <row r="23">
      <c r="A23" s="24">
        <v>45921.0</v>
      </c>
      <c r="B23" s="25">
        <v>9.1520478E7</v>
      </c>
      <c r="C23" s="25" t="s">
        <v>79</v>
      </c>
    </row>
  </sheetData>
  <drawing r:id="rId1"/>
</worksheet>
</file>